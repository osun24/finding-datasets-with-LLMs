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wensun/Downloads/code/finding-datasets-with-LLMs/ArrayExpress/"/>
    </mc:Choice>
  </mc:AlternateContent>
  <xr:revisionPtr revIDLastSave="0" documentId="13_ncr:9_{A0A41E3D-3880-2A48-8E2C-D917DD970351}" xr6:coauthVersionLast="47" xr6:coauthVersionMax="47" xr10:uidLastSave="{00000000-0000-0000-0000-000000000000}"/>
  <bookViews>
    <workbookView xWindow="0" yWindow="0" windowWidth="28800" windowHeight="18000" activeTab="2" xr2:uid="{D7B16CB0-532F-9A4C-9F92-82BEE3FF1B75}"/>
  </bookViews>
  <sheets>
    <sheet name="token_costs" sheetId="1" r:id="rId1"/>
    <sheet name="all token costs" sheetId="2" r:id="rId2"/>
    <sheet name="overall token co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0" i="2" l="1"/>
  <c r="I70" i="2"/>
  <c r="H70" i="2"/>
  <c r="G70" i="2"/>
  <c r="F70" i="2"/>
  <c r="I47" i="2"/>
  <c r="F47" i="2"/>
  <c r="G47" i="2"/>
  <c r="H47" i="2"/>
  <c r="E47" i="2"/>
  <c r="F24" i="2"/>
  <c r="G24" i="2"/>
  <c r="H24" i="2"/>
  <c r="I24" i="2"/>
  <c r="E24" i="2"/>
</calcChain>
</file>

<file path=xl/sharedStrings.xml><?xml version="1.0" encoding="utf-8"?>
<sst xmlns="http://schemas.openxmlformats.org/spreadsheetml/2006/main" count="788" uniqueCount="31">
  <si>
    <t>model</t>
  </si>
  <si>
    <t>version</t>
  </si>
  <si>
    <t>trial</t>
  </si>
  <si>
    <t>target_disease</t>
  </si>
  <si>
    <t>input_tokens</t>
  </si>
  <si>
    <t>output_tokens</t>
  </si>
  <si>
    <t>input_cost</t>
  </si>
  <si>
    <t>output_cost</t>
  </si>
  <si>
    <t>total_cost</t>
  </si>
  <si>
    <t>GPT-4.1-mini</t>
  </si>
  <si>
    <t>v1</t>
  </si>
  <si>
    <t>AD</t>
  </si>
  <si>
    <t>ALS-FTD</t>
  </si>
  <si>
    <t>LBD</t>
  </si>
  <si>
    <t>all-diseases</t>
  </si>
  <si>
    <t>GPT-4o-mini</t>
  </si>
  <si>
    <t>GPT-5-mini</t>
  </si>
  <si>
    <t>seed43</t>
  </si>
  <si>
    <t>seed44</t>
  </si>
  <si>
    <t>seed45</t>
  </si>
  <si>
    <t>seed46</t>
  </si>
  <si>
    <t>seed47</t>
  </si>
  <si>
    <t>seed48</t>
  </si>
  <si>
    <t>seed49</t>
  </si>
  <si>
    <t>seed50</t>
  </si>
  <si>
    <t>seed51</t>
  </si>
  <si>
    <t>o4-mini</t>
  </si>
  <si>
    <t>AD MEDIAN</t>
  </si>
  <si>
    <t>ALS-FTD MEDIAN</t>
  </si>
  <si>
    <t xml:space="preserve">OVERALL MEDIAN </t>
  </si>
  <si>
    <t>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</si>
</sst>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_);_(&quot;$&quot;* \(#,##0.000\);_(&quot;$&quot;* &quot;-&quot;??_);_(@_)"/>
    <numFmt numFmtId="168" formatCode="_(* #,##0_);_(* \(#,##0\);_(* &quot;-&quot;??_);_(@_)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168" fontId="0" fillId="0" borderId="0" xfId="1" applyNumberFormat="1" applyFont="1" applyAlignment="1">
      <alignment horizontal="center"/>
    </xf>
    <xf numFmtId="164" fontId="0" fillId="0" borderId="0" xfId="2" applyNumberFormat="1" applyFont="1" applyAlignment="1">
      <alignment horizontal="center"/>
    </xf>
    <xf numFmtId="0" fontId="0" fillId="0" borderId="10" xfId="0" applyBorder="1" applyAlignment="1">
      <alignment horizontal="center"/>
    </xf>
    <xf numFmtId="168" fontId="0" fillId="0" borderId="10" xfId="1" applyNumberFormat="1" applyFont="1" applyBorder="1" applyAlignment="1">
      <alignment horizontal="center"/>
    </xf>
    <xf numFmtId="164" fontId="0" fillId="0" borderId="10" xfId="2" applyNumberFormat="1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168" fontId="18" fillId="0" borderId="10" xfId="1" applyNumberFormat="1" applyFont="1" applyBorder="1" applyAlignment="1">
      <alignment horizontal="center"/>
    </xf>
    <xf numFmtId="164" fontId="18" fillId="0" borderId="10" xfId="2" applyNumberFormat="1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168" fontId="19" fillId="0" borderId="10" xfId="0" applyNumberFormat="1" applyFont="1" applyBorder="1" applyAlignment="1">
      <alignment horizontal="center"/>
    </xf>
    <xf numFmtId="164" fontId="19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168" fontId="20" fillId="0" borderId="13" xfId="0" applyNumberFormat="1" applyFont="1" applyBorder="1" applyAlignment="1">
      <alignment horizontal="center"/>
    </xf>
    <xf numFmtId="164" fontId="20" fillId="0" borderId="13" xfId="0" applyNumberFormat="1" applyFont="1" applyBorder="1" applyAlignment="1">
      <alignment horizontal="center"/>
    </xf>
    <xf numFmtId="168" fontId="19" fillId="0" borderId="13" xfId="0" applyNumberFormat="1" applyFont="1" applyBorder="1" applyAlignment="1">
      <alignment horizontal="center"/>
    </xf>
    <xf numFmtId="164" fontId="19" fillId="0" borderId="13" xfId="0" applyNumberFormat="1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9" fillId="0" borderId="11" xfId="0" applyFont="1" applyBorder="1" applyAlignment="1">
      <alignment horizont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11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_(&quot;$&quot;* #,##0.000_);_(&quot;$&quot;* \(#,##0.000\);_(&quot;$&quot;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_(&quot;$&quot;* #,##0.000_);_(&quot;$&quot;* \(#,##0.000\);_(&quot;$&quot;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_(&quot;$&quot;* #,##0.000_);_(&quot;$&quot;* \(#,##0.000\);_(&quot;$&quot;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8" formatCode="_(* #,##0_);_(* \(#,##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8" formatCode="_(* #,##0_);_(* \(#,##0\);_(* &quot;-&quot;??_);_(@_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BBCBDE-B143-5C4D-BE3C-2B4D59DE8861}" name="Table1" displayName="Table1" ref="A1:I91" totalsRowShown="0" headerRowDxfId="0" dataDxfId="1" dataCellStyle="Currency">
  <autoFilter ref="A1:I91" xr:uid="{52BBCBDE-B143-5C4D-BE3C-2B4D59DE8861}">
    <filterColumn colId="3">
      <customFilters>
        <customFilter operator="notEqual" val=" "/>
      </customFilters>
    </filterColumn>
  </autoFilter>
  <sortState xmlns:xlrd2="http://schemas.microsoft.com/office/spreadsheetml/2017/richdata2" ref="A2:I91">
    <sortCondition ref="D1:D91"/>
  </sortState>
  <tableColumns count="9">
    <tableColumn id="1" xr3:uid="{B067448E-E788-344E-AE01-56CCDC422F1D}" name="model" dataDxfId="10"/>
    <tableColumn id="2" xr3:uid="{CDFD053A-40D9-1A45-872A-FACD76E3FFF9}" name="version" dataDxfId="9"/>
    <tableColumn id="3" xr3:uid="{9016E4D2-2BFE-F342-A103-68ABF0E6F12F}" name="trial" dataDxfId="8"/>
    <tableColumn id="4" xr3:uid="{84EDA24D-68E7-CF49-9FA1-0631C2065D85}" name="target_disease" dataDxfId="7"/>
    <tableColumn id="5" xr3:uid="{98ACB366-B3FC-374D-9CB4-791B85CFA103}" name="input_tokens" dataDxfId="6" dataCellStyle="Comma"/>
    <tableColumn id="6" xr3:uid="{F799B25C-B95D-1C4C-9DF2-10701CC720D5}" name="output_tokens" dataDxfId="5" dataCellStyle="Comma"/>
    <tableColumn id="7" xr3:uid="{60E7D6D6-AFA9-D94E-B1DF-9A687A8FC830}" name="input_cost" dataDxfId="4" dataCellStyle="Currency"/>
    <tableColumn id="8" xr3:uid="{81358419-61F6-6644-82A2-3B259FE63BD5}" name="output_cost" dataDxfId="3" dataCellStyle="Currency"/>
    <tableColumn id="9" xr3:uid="{E3FB24E5-1648-E24D-8D22-2210DA379365}" name="total_cost" dataDxfId="2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82215-2E03-0A4C-8C62-84BC655439A4}">
  <dimension ref="A1:I91"/>
  <sheetViews>
    <sheetView workbookViewId="0">
      <selection activeCell="D21" sqref="A1:I91"/>
    </sheetView>
  </sheetViews>
  <sheetFormatPr baseColWidth="10" defaultRowHeight="16" x14ac:dyDescent="0.2"/>
  <cols>
    <col min="1" max="1" width="11.6640625" bestFit="1" customWidth="1"/>
    <col min="2" max="2" width="9.33203125" customWidth="1"/>
    <col min="3" max="3" width="7" bestFit="1" customWidth="1"/>
    <col min="4" max="4" width="15.33203125" customWidth="1"/>
    <col min="5" max="5" width="13.83203125" customWidth="1"/>
    <col min="6" max="6" width="15" customWidth="1"/>
    <col min="7" max="7" width="12" customWidth="1"/>
    <col min="8" max="8" width="13.1640625" customWidth="1"/>
    <col min="9" max="9" width="11.6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 t="s">
        <v>10</v>
      </c>
      <c r="C2" s="1"/>
      <c r="D2" s="1" t="s">
        <v>11</v>
      </c>
      <c r="E2" s="2">
        <v>19302</v>
      </c>
      <c r="F2" s="2">
        <v>5688</v>
      </c>
      <c r="G2" s="3">
        <v>3.8999999999999998E-3</v>
      </c>
      <c r="H2" s="3">
        <v>4.5999999999999999E-3</v>
      </c>
      <c r="I2" s="3">
        <v>8.3999999999999995E-3</v>
      </c>
    </row>
    <row r="3" spans="1:9" x14ac:dyDescent="0.2">
      <c r="A3" s="1" t="s">
        <v>15</v>
      </c>
      <c r="B3" s="1" t="s">
        <v>10</v>
      </c>
      <c r="C3" s="1"/>
      <c r="D3" s="1" t="s">
        <v>11</v>
      </c>
      <c r="E3" s="2">
        <v>19302</v>
      </c>
      <c r="F3" s="2">
        <v>5895</v>
      </c>
      <c r="G3" s="3">
        <v>1.4E-3</v>
      </c>
      <c r="H3" s="3">
        <v>1.8E-3</v>
      </c>
      <c r="I3" s="3">
        <v>3.2000000000000002E-3</v>
      </c>
    </row>
    <row r="4" spans="1:9" x14ac:dyDescent="0.2">
      <c r="A4" s="1" t="s">
        <v>16</v>
      </c>
      <c r="B4" s="1" t="s">
        <v>10</v>
      </c>
      <c r="C4" s="1" t="s">
        <v>17</v>
      </c>
      <c r="D4" s="1" t="s">
        <v>11</v>
      </c>
      <c r="E4" s="2">
        <v>19236</v>
      </c>
      <c r="F4" s="2">
        <v>19079</v>
      </c>
      <c r="G4" s="3">
        <v>2.3999999999999998E-3</v>
      </c>
      <c r="H4" s="3">
        <v>1.9099999999999999E-2</v>
      </c>
      <c r="I4" s="3">
        <v>2.1499999999999998E-2</v>
      </c>
    </row>
    <row r="5" spans="1:9" x14ac:dyDescent="0.2">
      <c r="A5" s="1" t="s">
        <v>16</v>
      </c>
      <c r="B5" s="1" t="s">
        <v>10</v>
      </c>
      <c r="C5" s="1" t="s">
        <v>18</v>
      </c>
      <c r="D5" s="1" t="s">
        <v>11</v>
      </c>
      <c r="E5" s="2">
        <v>19236</v>
      </c>
      <c r="F5" s="2">
        <v>18349</v>
      </c>
      <c r="G5" s="3">
        <v>2.3999999999999998E-3</v>
      </c>
      <c r="H5" s="3">
        <v>1.83E-2</v>
      </c>
      <c r="I5" s="3">
        <v>2.0799999999999999E-2</v>
      </c>
    </row>
    <row r="6" spans="1:9" x14ac:dyDescent="0.2">
      <c r="A6" s="1" t="s">
        <v>16</v>
      </c>
      <c r="B6" s="1" t="s">
        <v>10</v>
      </c>
      <c r="C6" s="1" t="s">
        <v>19</v>
      </c>
      <c r="D6" s="1" t="s">
        <v>11</v>
      </c>
      <c r="E6" s="2">
        <v>19236</v>
      </c>
      <c r="F6" s="2">
        <v>18350</v>
      </c>
      <c r="G6" s="3">
        <v>2.3999999999999998E-3</v>
      </c>
      <c r="H6" s="3">
        <v>1.84E-2</v>
      </c>
      <c r="I6" s="3">
        <v>2.0799999999999999E-2</v>
      </c>
    </row>
    <row r="7" spans="1:9" x14ac:dyDescent="0.2">
      <c r="A7" s="1" t="s">
        <v>16</v>
      </c>
      <c r="B7" s="1" t="s">
        <v>10</v>
      </c>
      <c r="C7" s="1" t="s">
        <v>20</v>
      </c>
      <c r="D7" s="1" t="s">
        <v>11</v>
      </c>
      <c r="E7" s="2">
        <v>19236</v>
      </c>
      <c r="F7" s="2">
        <v>19721</v>
      </c>
      <c r="G7" s="3">
        <v>2.3999999999999998E-3</v>
      </c>
      <c r="H7" s="3">
        <v>1.9699999999999999E-2</v>
      </c>
      <c r="I7" s="3">
        <v>2.2100000000000002E-2</v>
      </c>
    </row>
    <row r="8" spans="1:9" x14ac:dyDescent="0.2">
      <c r="A8" s="1" t="s">
        <v>16</v>
      </c>
      <c r="B8" s="1" t="s">
        <v>10</v>
      </c>
      <c r="C8" s="1" t="s">
        <v>21</v>
      </c>
      <c r="D8" s="1" t="s">
        <v>11</v>
      </c>
      <c r="E8" s="2">
        <v>19236</v>
      </c>
      <c r="F8" s="2">
        <v>18483</v>
      </c>
      <c r="G8" s="3">
        <v>2.3999999999999998E-3</v>
      </c>
      <c r="H8" s="3">
        <v>1.8499999999999999E-2</v>
      </c>
      <c r="I8" s="3">
        <v>2.0899999999999998E-2</v>
      </c>
    </row>
    <row r="9" spans="1:9" x14ac:dyDescent="0.2">
      <c r="A9" s="1" t="s">
        <v>16</v>
      </c>
      <c r="B9" s="1" t="s">
        <v>10</v>
      </c>
      <c r="C9" s="1" t="s">
        <v>22</v>
      </c>
      <c r="D9" s="1" t="s">
        <v>11</v>
      </c>
      <c r="E9" s="2">
        <v>19236</v>
      </c>
      <c r="F9" s="2">
        <v>18850</v>
      </c>
      <c r="G9" s="3">
        <v>2.3999999999999998E-3</v>
      </c>
      <c r="H9" s="3">
        <v>1.8800000000000001E-2</v>
      </c>
      <c r="I9" s="3">
        <v>2.1299999999999999E-2</v>
      </c>
    </row>
    <row r="10" spans="1:9" x14ac:dyDescent="0.2">
      <c r="A10" s="1" t="s">
        <v>16</v>
      </c>
      <c r="B10" s="1" t="s">
        <v>10</v>
      </c>
      <c r="C10" s="1" t="s">
        <v>23</v>
      </c>
      <c r="D10" s="1" t="s">
        <v>11</v>
      </c>
      <c r="E10" s="2">
        <v>19236</v>
      </c>
      <c r="F10" s="2">
        <v>18663</v>
      </c>
      <c r="G10" s="3">
        <v>2.3999999999999998E-3</v>
      </c>
      <c r="H10" s="3">
        <v>1.8700000000000001E-2</v>
      </c>
      <c r="I10" s="3">
        <v>2.1100000000000001E-2</v>
      </c>
    </row>
    <row r="11" spans="1:9" x14ac:dyDescent="0.2">
      <c r="A11" s="1" t="s">
        <v>16</v>
      </c>
      <c r="B11" s="1" t="s">
        <v>10</v>
      </c>
      <c r="C11" s="1" t="s">
        <v>24</v>
      </c>
      <c r="D11" s="1" t="s">
        <v>11</v>
      </c>
      <c r="E11" s="2">
        <v>19236</v>
      </c>
      <c r="F11" s="2">
        <v>18578</v>
      </c>
      <c r="G11" s="3">
        <v>2.3999999999999998E-3</v>
      </c>
      <c r="H11" s="3">
        <v>1.8599999999999998E-2</v>
      </c>
      <c r="I11" s="3">
        <v>2.1000000000000001E-2</v>
      </c>
    </row>
    <row r="12" spans="1:9" x14ac:dyDescent="0.2">
      <c r="A12" s="1" t="s">
        <v>16</v>
      </c>
      <c r="B12" s="1" t="s">
        <v>10</v>
      </c>
      <c r="C12" s="1" t="s">
        <v>25</v>
      </c>
      <c r="D12" s="1" t="s">
        <v>11</v>
      </c>
      <c r="E12" s="2">
        <v>19236</v>
      </c>
      <c r="F12" s="2">
        <v>17724</v>
      </c>
      <c r="G12" s="3">
        <v>2.3999999999999998E-3</v>
      </c>
      <c r="H12" s="3">
        <v>1.77E-2</v>
      </c>
      <c r="I12" s="3">
        <v>2.01E-2</v>
      </c>
    </row>
    <row r="13" spans="1:9" x14ac:dyDescent="0.2">
      <c r="A13" s="1" t="s">
        <v>16</v>
      </c>
      <c r="B13" s="1" t="s">
        <v>10</v>
      </c>
      <c r="C13" s="1"/>
      <c r="D13" s="1" t="s">
        <v>11</v>
      </c>
      <c r="E13" s="2">
        <v>19236</v>
      </c>
      <c r="F13" s="2">
        <v>18655</v>
      </c>
      <c r="G13" s="3">
        <v>2.3999999999999998E-3</v>
      </c>
      <c r="H13" s="3">
        <v>1.8700000000000001E-2</v>
      </c>
      <c r="I13" s="3">
        <v>2.1100000000000001E-2</v>
      </c>
    </row>
    <row r="14" spans="1:9" x14ac:dyDescent="0.2">
      <c r="A14" s="1" t="s">
        <v>26</v>
      </c>
      <c r="B14" s="1" t="s">
        <v>10</v>
      </c>
      <c r="C14" s="1" t="s">
        <v>17</v>
      </c>
      <c r="D14" s="1" t="s">
        <v>11</v>
      </c>
      <c r="E14" s="2">
        <v>19236</v>
      </c>
      <c r="F14" s="2">
        <v>13491</v>
      </c>
      <c r="G14" s="3">
        <v>1.06E-2</v>
      </c>
      <c r="H14" s="3">
        <v>2.9700000000000001E-2</v>
      </c>
      <c r="I14" s="3">
        <v>4.0300000000000002E-2</v>
      </c>
    </row>
    <row r="15" spans="1:9" x14ac:dyDescent="0.2">
      <c r="A15" s="1" t="s">
        <v>26</v>
      </c>
      <c r="B15" s="1" t="s">
        <v>10</v>
      </c>
      <c r="C15" s="1" t="s">
        <v>18</v>
      </c>
      <c r="D15" s="1" t="s">
        <v>11</v>
      </c>
      <c r="E15" s="2">
        <v>19236</v>
      </c>
      <c r="F15" s="2">
        <v>14499</v>
      </c>
      <c r="G15" s="3">
        <v>1.06E-2</v>
      </c>
      <c r="H15" s="3">
        <v>3.1899999999999998E-2</v>
      </c>
      <c r="I15" s="3">
        <v>4.2500000000000003E-2</v>
      </c>
    </row>
    <row r="16" spans="1:9" x14ac:dyDescent="0.2">
      <c r="A16" s="1" t="s">
        <v>26</v>
      </c>
      <c r="B16" s="1" t="s">
        <v>10</v>
      </c>
      <c r="C16" s="1" t="s">
        <v>19</v>
      </c>
      <c r="D16" s="1" t="s">
        <v>11</v>
      </c>
      <c r="E16" s="2">
        <v>19236</v>
      </c>
      <c r="F16" s="2">
        <v>15194</v>
      </c>
      <c r="G16" s="3">
        <v>1.06E-2</v>
      </c>
      <c r="H16" s="3">
        <v>3.3399999999999999E-2</v>
      </c>
      <c r="I16" s="3">
        <v>4.3999999999999997E-2</v>
      </c>
    </row>
    <row r="17" spans="1:9" x14ac:dyDescent="0.2">
      <c r="A17" s="1" t="s">
        <v>26</v>
      </c>
      <c r="B17" s="1" t="s">
        <v>10</v>
      </c>
      <c r="C17" s="1" t="s">
        <v>20</v>
      </c>
      <c r="D17" s="1" t="s">
        <v>11</v>
      </c>
      <c r="E17" s="2">
        <v>19236</v>
      </c>
      <c r="F17" s="2">
        <v>14722</v>
      </c>
      <c r="G17" s="3">
        <v>1.06E-2</v>
      </c>
      <c r="H17" s="3">
        <v>3.2399999999999998E-2</v>
      </c>
      <c r="I17" s="3">
        <v>4.2999999999999997E-2</v>
      </c>
    </row>
    <row r="18" spans="1:9" x14ac:dyDescent="0.2">
      <c r="A18" s="1" t="s">
        <v>26</v>
      </c>
      <c r="B18" s="1" t="s">
        <v>10</v>
      </c>
      <c r="C18" s="1" t="s">
        <v>21</v>
      </c>
      <c r="D18" s="1" t="s">
        <v>11</v>
      </c>
      <c r="E18" s="2">
        <v>19236</v>
      </c>
      <c r="F18" s="2">
        <v>15015</v>
      </c>
      <c r="G18" s="3">
        <v>1.06E-2</v>
      </c>
      <c r="H18" s="3">
        <v>3.3000000000000002E-2</v>
      </c>
      <c r="I18" s="3">
        <v>4.36E-2</v>
      </c>
    </row>
    <row r="19" spans="1:9" x14ac:dyDescent="0.2">
      <c r="A19" s="1" t="s">
        <v>26</v>
      </c>
      <c r="B19" s="1" t="s">
        <v>10</v>
      </c>
      <c r="C19" s="1" t="s">
        <v>22</v>
      </c>
      <c r="D19" s="1" t="s">
        <v>11</v>
      </c>
      <c r="E19" s="2">
        <v>19236</v>
      </c>
      <c r="F19" s="2">
        <v>14017</v>
      </c>
      <c r="G19" s="3">
        <v>1.06E-2</v>
      </c>
      <c r="H19" s="3">
        <v>3.0800000000000001E-2</v>
      </c>
      <c r="I19" s="3">
        <v>4.1399999999999999E-2</v>
      </c>
    </row>
    <row r="20" spans="1:9" x14ac:dyDescent="0.2">
      <c r="A20" s="1" t="s">
        <v>26</v>
      </c>
      <c r="B20" s="1" t="s">
        <v>10</v>
      </c>
      <c r="C20" s="1" t="s">
        <v>23</v>
      </c>
      <c r="D20" s="1" t="s">
        <v>11</v>
      </c>
      <c r="E20" s="2">
        <v>19236</v>
      </c>
      <c r="F20" s="2">
        <v>14081</v>
      </c>
      <c r="G20" s="3">
        <v>1.06E-2</v>
      </c>
      <c r="H20" s="3">
        <v>3.1E-2</v>
      </c>
      <c r="I20" s="3">
        <v>4.1599999999999998E-2</v>
      </c>
    </row>
    <row r="21" spans="1:9" x14ac:dyDescent="0.2">
      <c r="A21" s="1" t="s">
        <v>26</v>
      </c>
      <c r="B21" s="1" t="s">
        <v>10</v>
      </c>
      <c r="C21" s="1" t="s">
        <v>24</v>
      </c>
      <c r="D21" s="1" t="s">
        <v>11</v>
      </c>
      <c r="E21" s="2">
        <v>19236</v>
      </c>
      <c r="F21" s="2">
        <v>14469</v>
      </c>
      <c r="G21" s="3">
        <v>1.06E-2</v>
      </c>
      <c r="H21" s="3">
        <v>3.1800000000000002E-2</v>
      </c>
      <c r="I21" s="3">
        <v>4.24E-2</v>
      </c>
    </row>
    <row r="22" spans="1:9" x14ac:dyDescent="0.2">
      <c r="A22" s="1" t="s">
        <v>26</v>
      </c>
      <c r="B22" s="1" t="s">
        <v>10</v>
      </c>
      <c r="C22" s="1" t="s">
        <v>25</v>
      </c>
      <c r="D22" s="1" t="s">
        <v>11</v>
      </c>
      <c r="E22" s="2">
        <v>19236</v>
      </c>
      <c r="F22" s="2">
        <v>32461</v>
      </c>
      <c r="G22" s="3">
        <v>1.06E-2</v>
      </c>
      <c r="H22" s="3">
        <v>7.1400000000000005E-2</v>
      </c>
      <c r="I22" s="3">
        <v>8.2000000000000003E-2</v>
      </c>
    </row>
    <row r="23" spans="1:9" x14ac:dyDescent="0.2">
      <c r="A23" s="1" t="s">
        <v>26</v>
      </c>
      <c r="B23" s="1" t="s">
        <v>10</v>
      </c>
      <c r="C23" s="1"/>
      <c r="D23" s="1" t="s">
        <v>11</v>
      </c>
      <c r="E23" s="2">
        <v>19236</v>
      </c>
      <c r="F23" s="2">
        <v>16892</v>
      </c>
      <c r="G23" s="3">
        <v>1.06E-2</v>
      </c>
      <c r="H23" s="3">
        <v>3.7199999999999997E-2</v>
      </c>
      <c r="I23" s="3">
        <v>4.7699999999999999E-2</v>
      </c>
    </row>
    <row r="24" spans="1:9" x14ac:dyDescent="0.2">
      <c r="A24" s="1" t="s">
        <v>9</v>
      </c>
      <c r="B24" s="1" t="s">
        <v>10</v>
      </c>
      <c r="C24" s="1"/>
      <c r="D24" s="1" t="s">
        <v>14</v>
      </c>
      <c r="E24" s="2">
        <v>88734</v>
      </c>
      <c r="F24" s="2">
        <v>26001</v>
      </c>
      <c r="G24" s="3">
        <v>1.77E-2</v>
      </c>
      <c r="H24" s="3">
        <v>2.0799999999999999E-2</v>
      </c>
      <c r="I24" s="3">
        <v>3.85E-2</v>
      </c>
    </row>
    <row r="25" spans="1:9" x14ac:dyDescent="0.2">
      <c r="A25" s="1" t="s">
        <v>15</v>
      </c>
      <c r="B25" s="1" t="s">
        <v>10</v>
      </c>
      <c r="C25" s="1"/>
      <c r="D25" s="1" t="s">
        <v>14</v>
      </c>
      <c r="E25" s="2">
        <v>88734</v>
      </c>
      <c r="F25" s="2">
        <v>26379</v>
      </c>
      <c r="G25" s="3">
        <v>6.7000000000000002E-3</v>
      </c>
      <c r="H25" s="3">
        <v>7.9000000000000008E-3</v>
      </c>
      <c r="I25" s="3">
        <v>1.46E-2</v>
      </c>
    </row>
    <row r="26" spans="1:9" x14ac:dyDescent="0.2">
      <c r="A26" s="1" t="s">
        <v>16</v>
      </c>
      <c r="B26" s="1" t="s">
        <v>10</v>
      </c>
      <c r="C26" s="1" t="s">
        <v>17</v>
      </c>
      <c r="D26" s="1" t="s">
        <v>14</v>
      </c>
      <c r="E26" s="2">
        <v>88291</v>
      </c>
      <c r="F26" s="2">
        <v>85136</v>
      </c>
      <c r="G26" s="3">
        <v>1.0999999999999999E-2</v>
      </c>
      <c r="H26" s="3">
        <v>8.5099999999999995E-2</v>
      </c>
      <c r="I26" s="3">
        <v>9.6199999999999994E-2</v>
      </c>
    </row>
    <row r="27" spans="1:9" x14ac:dyDescent="0.2">
      <c r="A27" s="1" t="s">
        <v>16</v>
      </c>
      <c r="B27" s="1" t="s">
        <v>10</v>
      </c>
      <c r="C27" s="1" t="s">
        <v>18</v>
      </c>
      <c r="D27" s="1" t="s">
        <v>14</v>
      </c>
      <c r="E27" s="2">
        <v>88291</v>
      </c>
      <c r="F27" s="2">
        <v>84780</v>
      </c>
      <c r="G27" s="3">
        <v>1.0999999999999999E-2</v>
      </c>
      <c r="H27" s="3">
        <v>8.48E-2</v>
      </c>
      <c r="I27" s="3">
        <v>9.5799999999999996E-2</v>
      </c>
    </row>
    <row r="28" spans="1:9" x14ac:dyDescent="0.2">
      <c r="A28" s="1" t="s">
        <v>16</v>
      </c>
      <c r="B28" s="1" t="s">
        <v>10</v>
      </c>
      <c r="C28" s="1" t="s">
        <v>19</v>
      </c>
      <c r="D28" s="1" t="s">
        <v>14</v>
      </c>
      <c r="E28" s="2">
        <v>88291</v>
      </c>
      <c r="F28" s="2">
        <v>85345</v>
      </c>
      <c r="G28" s="3">
        <v>1.0999999999999999E-2</v>
      </c>
      <c r="H28" s="3">
        <v>8.5300000000000001E-2</v>
      </c>
      <c r="I28" s="3">
        <v>9.64E-2</v>
      </c>
    </row>
    <row r="29" spans="1:9" x14ac:dyDescent="0.2">
      <c r="A29" s="1" t="s">
        <v>16</v>
      </c>
      <c r="B29" s="1" t="s">
        <v>10</v>
      </c>
      <c r="C29" s="1" t="s">
        <v>20</v>
      </c>
      <c r="D29" s="1" t="s">
        <v>14</v>
      </c>
      <c r="E29" s="2">
        <v>88291</v>
      </c>
      <c r="F29" s="2">
        <v>87348</v>
      </c>
      <c r="G29" s="3">
        <v>1.0999999999999999E-2</v>
      </c>
      <c r="H29" s="3">
        <v>8.7300000000000003E-2</v>
      </c>
      <c r="I29" s="3">
        <v>9.8400000000000001E-2</v>
      </c>
    </row>
    <row r="30" spans="1:9" x14ac:dyDescent="0.2">
      <c r="A30" s="1" t="s">
        <v>16</v>
      </c>
      <c r="B30" s="1" t="s">
        <v>10</v>
      </c>
      <c r="C30" s="1" t="s">
        <v>21</v>
      </c>
      <c r="D30" s="1" t="s">
        <v>14</v>
      </c>
      <c r="E30" s="2">
        <v>88291</v>
      </c>
      <c r="F30" s="2">
        <v>86702</v>
      </c>
      <c r="G30" s="3">
        <v>1.0999999999999999E-2</v>
      </c>
      <c r="H30" s="3">
        <v>8.6699999999999999E-2</v>
      </c>
      <c r="I30" s="3">
        <v>9.7699999999999995E-2</v>
      </c>
    </row>
    <row r="31" spans="1:9" hidden="1" x14ac:dyDescent="0.2">
      <c r="A31" s="1"/>
      <c r="B31" s="1"/>
      <c r="C31" s="1"/>
      <c r="D31" s="1"/>
      <c r="E31" s="2"/>
      <c r="F31" s="2"/>
      <c r="G31" s="3"/>
      <c r="H31" s="3"/>
      <c r="I31" s="3"/>
    </row>
    <row r="32" spans="1:9" x14ac:dyDescent="0.2">
      <c r="A32" s="1" t="s">
        <v>16</v>
      </c>
      <c r="B32" s="1" t="s">
        <v>10</v>
      </c>
      <c r="C32" s="1" t="s">
        <v>22</v>
      </c>
      <c r="D32" s="1" t="s">
        <v>14</v>
      </c>
      <c r="E32" s="2">
        <v>88291</v>
      </c>
      <c r="F32" s="2">
        <v>86844</v>
      </c>
      <c r="G32" s="3">
        <v>1.0999999999999999E-2</v>
      </c>
      <c r="H32" s="3">
        <v>8.6800000000000002E-2</v>
      </c>
      <c r="I32" s="3">
        <v>9.7900000000000001E-2</v>
      </c>
    </row>
    <row r="33" spans="1:9" x14ac:dyDescent="0.2">
      <c r="A33" s="1" t="s">
        <v>16</v>
      </c>
      <c r="B33" s="1" t="s">
        <v>10</v>
      </c>
      <c r="C33" s="1" t="s">
        <v>23</v>
      </c>
      <c r="D33" s="1" t="s">
        <v>14</v>
      </c>
      <c r="E33" s="2">
        <v>88291</v>
      </c>
      <c r="F33" s="2">
        <v>83872</v>
      </c>
      <c r="G33" s="3">
        <v>1.0999999999999999E-2</v>
      </c>
      <c r="H33" s="3">
        <v>8.3900000000000002E-2</v>
      </c>
      <c r="I33" s="3">
        <v>9.4899999999999998E-2</v>
      </c>
    </row>
    <row r="34" spans="1:9" x14ac:dyDescent="0.2">
      <c r="A34" s="1" t="s">
        <v>16</v>
      </c>
      <c r="B34" s="1" t="s">
        <v>10</v>
      </c>
      <c r="C34" s="1" t="s">
        <v>24</v>
      </c>
      <c r="D34" s="1" t="s">
        <v>14</v>
      </c>
      <c r="E34" s="2">
        <v>88291</v>
      </c>
      <c r="F34" s="2">
        <v>87446</v>
      </c>
      <c r="G34" s="3">
        <v>1.0999999999999999E-2</v>
      </c>
      <c r="H34" s="3">
        <v>8.7400000000000005E-2</v>
      </c>
      <c r="I34" s="3">
        <v>9.8500000000000004E-2</v>
      </c>
    </row>
    <row r="35" spans="1:9" x14ac:dyDescent="0.2">
      <c r="A35" s="1" t="s">
        <v>16</v>
      </c>
      <c r="B35" s="1" t="s">
        <v>10</v>
      </c>
      <c r="C35" s="1" t="s">
        <v>25</v>
      </c>
      <c r="D35" s="1" t="s">
        <v>14</v>
      </c>
      <c r="E35" s="2">
        <v>88291</v>
      </c>
      <c r="F35" s="2">
        <v>84791</v>
      </c>
      <c r="G35" s="3">
        <v>1.0999999999999999E-2</v>
      </c>
      <c r="H35" s="3">
        <v>8.48E-2</v>
      </c>
      <c r="I35" s="3">
        <v>9.5799999999999996E-2</v>
      </c>
    </row>
    <row r="36" spans="1:9" x14ac:dyDescent="0.2">
      <c r="A36" s="1" t="s">
        <v>16</v>
      </c>
      <c r="B36" s="1" t="s">
        <v>10</v>
      </c>
      <c r="C36" s="1"/>
      <c r="D36" s="1" t="s">
        <v>14</v>
      </c>
      <c r="E36" s="2">
        <v>88291</v>
      </c>
      <c r="F36" s="2">
        <v>85488</v>
      </c>
      <c r="G36" s="3">
        <v>1.0999999999999999E-2</v>
      </c>
      <c r="H36" s="3">
        <v>8.5500000000000007E-2</v>
      </c>
      <c r="I36" s="3">
        <v>9.6500000000000002E-2</v>
      </c>
    </row>
    <row r="37" spans="1:9" x14ac:dyDescent="0.2">
      <c r="A37" s="1" t="s">
        <v>26</v>
      </c>
      <c r="B37" s="1" t="s">
        <v>10</v>
      </c>
      <c r="C37" s="1" t="s">
        <v>17</v>
      </c>
      <c r="D37" s="1" t="s">
        <v>14</v>
      </c>
      <c r="E37" s="2">
        <v>88291</v>
      </c>
      <c r="F37" s="2">
        <v>63357</v>
      </c>
      <c r="G37" s="3">
        <v>4.8599999999999997E-2</v>
      </c>
      <c r="H37" s="3">
        <v>0.1394</v>
      </c>
      <c r="I37" s="3">
        <v>0.18790000000000001</v>
      </c>
    </row>
    <row r="38" spans="1:9" x14ac:dyDescent="0.2">
      <c r="A38" s="1" t="s">
        <v>26</v>
      </c>
      <c r="B38" s="1" t="s">
        <v>10</v>
      </c>
      <c r="C38" s="1" t="s">
        <v>18</v>
      </c>
      <c r="D38" s="1" t="s">
        <v>14</v>
      </c>
      <c r="E38" s="2">
        <v>88291</v>
      </c>
      <c r="F38" s="2">
        <v>65076</v>
      </c>
      <c r="G38" s="3">
        <v>4.8599999999999997E-2</v>
      </c>
      <c r="H38" s="3">
        <v>0.14319999999999999</v>
      </c>
      <c r="I38" s="3">
        <v>0.19170000000000001</v>
      </c>
    </row>
    <row r="39" spans="1:9" x14ac:dyDescent="0.2">
      <c r="A39" s="1" t="s">
        <v>26</v>
      </c>
      <c r="B39" s="1" t="s">
        <v>10</v>
      </c>
      <c r="C39" s="1" t="s">
        <v>19</v>
      </c>
      <c r="D39" s="1" t="s">
        <v>14</v>
      </c>
      <c r="E39" s="2">
        <v>88291</v>
      </c>
      <c r="F39" s="2">
        <v>66339</v>
      </c>
      <c r="G39" s="3">
        <v>4.8599999999999997E-2</v>
      </c>
      <c r="H39" s="3">
        <v>0.1459</v>
      </c>
      <c r="I39" s="3">
        <v>0.19450000000000001</v>
      </c>
    </row>
    <row r="40" spans="1:9" x14ac:dyDescent="0.2">
      <c r="A40" s="1" t="s">
        <v>26</v>
      </c>
      <c r="B40" s="1" t="s">
        <v>10</v>
      </c>
      <c r="C40" s="1" t="s">
        <v>20</v>
      </c>
      <c r="D40" s="1" t="s">
        <v>14</v>
      </c>
      <c r="E40" s="2">
        <v>88291</v>
      </c>
      <c r="F40" s="2">
        <v>64551</v>
      </c>
      <c r="G40" s="3">
        <v>4.8599999999999997E-2</v>
      </c>
      <c r="H40" s="3">
        <v>0.14199999999999999</v>
      </c>
      <c r="I40" s="3">
        <v>0.19059999999999999</v>
      </c>
    </row>
    <row r="41" spans="1:9" x14ac:dyDescent="0.2">
      <c r="A41" s="1" t="s">
        <v>26</v>
      </c>
      <c r="B41" s="1" t="s">
        <v>10</v>
      </c>
      <c r="C41" s="1" t="s">
        <v>21</v>
      </c>
      <c r="D41" s="1" t="s">
        <v>14</v>
      </c>
      <c r="E41" s="2">
        <v>88291</v>
      </c>
      <c r="F41" s="2">
        <v>64386</v>
      </c>
      <c r="G41" s="3">
        <v>4.8599999999999997E-2</v>
      </c>
      <c r="H41" s="3">
        <v>0.1416</v>
      </c>
      <c r="I41" s="3">
        <v>0.19020000000000001</v>
      </c>
    </row>
    <row r="42" spans="1:9" x14ac:dyDescent="0.2">
      <c r="A42" s="1" t="s">
        <v>26</v>
      </c>
      <c r="B42" s="1" t="s">
        <v>10</v>
      </c>
      <c r="C42" s="1" t="s">
        <v>22</v>
      </c>
      <c r="D42" s="1" t="s">
        <v>14</v>
      </c>
      <c r="E42" s="2">
        <v>88291</v>
      </c>
      <c r="F42" s="2">
        <v>67123</v>
      </c>
      <c r="G42" s="3">
        <v>4.8599999999999997E-2</v>
      </c>
      <c r="H42" s="3">
        <v>0.1477</v>
      </c>
      <c r="I42" s="3">
        <v>0.19620000000000001</v>
      </c>
    </row>
    <row r="43" spans="1:9" x14ac:dyDescent="0.2">
      <c r="A43" s="1" t="s">
        <v>26</v>
      </c>
      <c r="B43" s="1" t="s">
        <v>10</v>
      </c>
      <c r="C43" s="1" t="s">
        <v>23</v>
      </c>
      <c r="D43" s="1" t="s">
        <v>14</v>
      </c>
      <c r="E43" s="2">
        <v>88291</v>
      </c>
      <c r="F43" s="2">
        <v>64304</v>
      </c>
      <c r="G43" s="3">
        <v>4.8599999999999997E-2</v>
      </c>
      <c r="H43" s="3">
        <v>0.14149999999999999</v>
      </c>
      <c r="I43" s="3">
        <v>0.19</v>
      </c>
    </row>
    <row r="44" spans="1:9" x14ac:dyDescent="0.2">
      <c r="A44" s="1" t="s">
        <v>26</v>
      </c>
      <c r="B44" s="1" t="s">
        <v>10</v>
      </c>
      <c r="C44" s="1" t="s">
        <v>24</v>
      </c>
      <c r="D44" s="1" t="s">
        <v>14</v>
      </c>
      <c r="E44" s="2">
        <v>88291</v>
      </c>
      <c r="F44" s="2">
        <v>67202</v>
      </c>
      <c r="G44" s="3">
        <v>4.8599999999999997E-2</v>
      </c>
      <c r="H44" s="3">
        <v>0.14779999999999999</v>
      </c>
      <c r="I44" s="3">
        <v>0.19639999999999999</v>
      </c>
    </row>
    <row r="45" spans="1:9" x14ac:dyDescent="0.2">
      <c r="A45" s="1" t="s">
        <v>26</v>
      </c>
      <c r="B45" s="1" t="s">
        <v>10</v>
      </c>
      <c r="C45" s="1" t="s">
        <v>25</v>
      </c>
      <c r="D45" s="1" t="s">
        <v>14</v>
      </c>
      <c r="E45" s="2">
        <v>88291</v>
      </c>
      <c r="F45" s="2">
        <v>84228</v>
      </c>
      <c r="G45" s="3">
        <v>4.8599999999999997E-2</v>
      </c>
      <c r="H45" s="3">
        <v>0.18529999999999999</v>
      </c>
      <c r="I45" s="3">
        <v>0.2339</v>
      </c>
    </row>
    <row r="46" spans="1:9" x14ac:dyDescent="0.2">
      <c r="A46" s="1" t="s">
        <v>26</v>
      </c>
      <c r="B46" s="1" t="s">
        <v>10</v>
      </c>
      <c r="C46" s="1"/>
      <c r="D46" s="1" t="s">
        <v>14</v>
      </c>
      <c r="E46" s="2">
        <v>88291</v>
      </c>
      <c r="F46" s="2">
        <v>69130</v>
      </c>
      <c r="G46" s="3">
        <v>4.8599999999999997E-2</v>
      </c>
      <c r="H46" s="3">
        <v>0.15210000000000001</v>
      </c>
      <c r="I46" s="3">
        <v>0.2006</v>
      </c>
    </row>
    <row r="47" spans="1:9" x14ac:dyDescent="0.2">
      <c r="A47" s="1" t="s">
        <v>9</v>
      </c>
      <c r="B47" s="1" t="s">
        <v>10</v>
      </c>
      <c r="C47" s="1"/>
      <c r="D47" s="1" t="s">
        <v>12</v>
      </c>
      <c r="E47" s="2">
        <v>46554</v>
      </c>
      <c r="F47" s="2">
        <v>13675</v>
      </c>
      <c r="G47" s="3">
        <v>9.2999999999999992E-3</v>
      </c>
      <c r="H47" s="3">
        <v>1.09E-2</v>
      </c>
      <c r="I47" s="3">
        <v>2.0299999999999999E-2</v>
      </c>
    </row>
    <row r="48" spans="1:9" x14ac:dyDescent="0.2">
      <c r="A48" s="1" t="s">
        <v>15</v>
      </c>
      <c r="B48" s="1" t="s">
        <v>10</v>
      </c>
      <c r="C48" s="1"/>
      <c r="D48" s="1" t="s">
        <v>12</v>
      </c>
      <c r="E48" s="2">
        <v>46554</v>
      </c>
      <c r="F48" s="2">
        <v>13598</v>
      </c>
      <c r="G48" s="3">
        <v>3.5000000000000001E-3</v>
      </c>
      <c r="H48" s="3">
        <v>4.1000000000000003E-3</v>
      </c>
      <c r="I48" s="3">
        <v>7.6E-3</v>
      </c>
    </row>
    <row r="49" spans="1:9" x14ac:dyDescent="0.2">
      <c r="A49" s="1" t="s">
        <v>16</v>
      </c>
      <c r="B49" s="1" t="s">
        <v>10</v>
      </c>
      <c r="C49" s="1" t="s">
        <v>17</v>
      </c>
      <c r="D49" s="1" t="s">
        <v>12</v>
      </c>
      <c r="E49" s="2">
        <v>46275</v>
      </c>
      <c r="F49" s="2">
        <v>44480</v>
      </c>
      <c r="G49" s="3">
        <v>5.7999999999999996E-3</v>
      </c>
      <c r="H49" s="3">
        <v>4.4499999999999998E-2</v>
      </c>
      <c r="I49" s="3">
        <v>5.0299999999999997E-2</v>
      </c>
    </row>
    <row r="50" spans="1:9" x14ac:dyDescent="0.2">
      <c r="A50" s="1" t="s">
        <v>16</v>
      </c>
      <c r="B50" s="1" t="s">
        <v>10</v>
      </c>
      <c r="C50" s="1" t="s">
        <v>18</v>
      </c>
      <c r="D50" s="1" t="s">
        <v>12</v>
      </c>
      <c r="E50" s="2">
        <v>46275</v>
      </c>
      <c r="F50" s="2">
        <v>45388</v>
      </c>
      <c r="G50" s="3">
        <v>5.7999999999999996E-3</v>
      </c>
      <c r="H50" s="3">
        <v>4.5400000000000003E-2</v>
      </c>
      <c r="I50" s="3">
        <v>5.1200000000000002E-2</v>
      </c>
    </row>
    <row r="51" spans="1:9" x14ac:dyDescent="0.2">
      <c r="A51" s="1" t="s">
        <v>16</v>
      </c>
      <c r="B51" s="1" t="s">
        <v>10</v>
      </c>
      <c r="C51" s="1" t="s">
        <v>19</v>
      </c>
      <c r="D51" s="1" t="s">
        <v>12</v>
      </c>
      <c r="E51" s="2">
        <v>46275</v>
      </c>
      <c r="F51" s="2">
        <v>45333</v>
      </c>
      <c r="G51" s="3">
        <v>5.7999999999999996E-3</v>
      </c>
      <c r="H51" s="3">
        <v>4.53E-2</v>
      </c>
      <c r="I51" s="3">
        <v>5.11E-2</v>
      </c>
    </row>
    <row r="52" spans="1:9" x14ac:dyDescent="0.2">
      <c r="A52" s="1" t="s">
        <v>16</v>
      </c>
      <c r="B52" s="1" t="s">
        <v>10</v>
      </c>
      <c r="C52" s="1" t="s">
        <v>20</v>
      </c>
      <c r="D52" s="1" t="s">
        <v>12</v>
      </c>
      <c r="E52" s="2">
        <v>46275</v>
      </c>
      <c r="F52" s="2">
        <v>46199</v>
      </c>
      <c r="G52" s="3">
        <v>5.7999999999999996E-3</v>
      </c>
      <c r="H52" s="3">
        <v>4.6199999999999998E-2</v>
      </c>
      <c r="I52" s="3">
        <v>5.1999999999999998E-2</v>
      </c>
    </row>
    <row r="53" spans="1:9" x14ac:dyDescent="0.2">
      <c r="A53" s="1" t="s">
        <v>16</v>
      </c>
      <c r="B53" s="1" t="s">
        <v>10</v>
      </c>
      <c r="C53" s="1" t="s">
        <v>21</v>
      </c>
      <c r="D53" s="1" t="s">
        <v>12</v>
      </c>
      <c r="E53" s="2">
        <v>46275</v>
      </c>
      <c r="F53" s="2">
        <v>46260</v>
      </c>
      <c r="G53" s="3">
        <v>5.7999999999999996E-3</v>
      </c>
      <c r="H53" s="3">
        <v>4.6300000000000001E-2</v>
      </c>
      <c r="I53" s="3">
        <v>5.1999999999999998E-2</v>
      </c>
    </row>
    <row r="54" spans="1:9" x14ac:dyDescent="0.2">
      <c r="A54" s="1" t="s">
        <v>16</v>
      </c>
      <c r="B54" s="1" t="s">
        <v>10</v>
      </c>
      <c r="C54" s="1" t="s">
        <v>22</v>
      </c>
      <c r="D54" s="1" t="s">
        <v>12</v>
      </c>
      <c r="E54" s="2">
        <v>46275</v>
      </c>
      <c r="F54" s="2">
        <v>45772</v>
      </c>
      <c r="G54" s="3">
        <v>5.7999999999999996E-3</v>
      </c>
      <c r="H54" s="3">
        <v>4.58E-2</v>
      </c>
      <c r="I54" s="3">
        <v>5.16E-2</v>
      </c>
    </row>
    <row r="55" spans="1:9" x14ac:dyDescent="0.2">
      <c r="A55" s="1" t="s">
        <v>16</v>
      </c>
      <c r="B55" s="1" t="s">
        <v>10</v>
      </c>
      <c r="C55" s="1" t="s">
        <v>23</v>
      </c>
      <c r="D55" s="1" t="s">
        <v>12</v>
      </c>
      <c r="E55" s="2">
        <v>46275</v>
      </c>
      <c r="F55" s="2">
        <v>43960</v>
      </c>
      <c r="G55" s="3">
        <v>5.7999999999999996E-3</v>
      </c>
      <c r="H55" s="3">
        <v>4.3999999999999997E-2</v>
      </c>
      <c r="I55" s="3">
        <v>4.9700000000000001E-2</v>
      </c>
    </row>
    <row r="56" spans="1:9" x14ac:dyDescent="0.2">
      <c r="A56" s="1" t="s">
        <v>16</v>
      </c>
      <c r="B56" s="1" t="s">
        <v>10</v>
      </c>
      <c r="C56" s="1" t="s">
        <v>24</v>
      </c>
      <c r="D56" s="1" t="s">
        <v>12</v>
      </c>
      <c r="E56" s="2">
        <v>46275</v>
      </c>
      <c r="F56" s="2">
        <v>46886</v>
      </c>
      <c r="G56" s="3">
        <v>5.7999999999999996E-3</v>
      </c>
      <c r="H56" s="3">
        <v>4.6899999999999997E-2</v>
      </c>
      <c r="I56" s="3">
        <v>5.2699999999999997E-2</v>
      </c>
    </row>
    <row r="57" spans="1:9" x14ac:dyDescent="0.2">
      <c r="A57" s="1" t="s">
        <v>16</v>
      </c>
      <c r="B57" s="1" t="s">
        <v>10</v>
      </c>
      <c r="C57" s="1" t="s">
        <v>25</v>
      </c>
      <c r="D57" s="1" t="s">
        <v>12</v>
      </c>
      <c r="E57" s="2">
        <v>46275</v>
      </c>
      <c r="F57" s="2">
        <v>45045</v>
      </c>
      <c r="G57" s="3">
        <v>5.7999999999999996E-3</v>
      </c>
      <c r="H57" s="3">
        <v>4.4999999999999998E-2</v>
      </c>
      <c r="I57" s="3">
        <v>5.0799999999999998E-2</v>
      </c>
    </row>
    <row r="58" spans="1:9" x14ac:dyDescent="0.2">
      <c r="A58" s="1" t="s">
        <v>16</v>
      </c>
      <c r="B58" s="1" t="s">
        <v>10</v>
      </c>
      <c r="C58" s="1"/>
      <c r="D58" s="1" t="s">
        <v>12</v>
      </c>
      <c r="E58" s="2">
        <v>46275</v>
      </c>
      <c r="F58" s="2">
        <v>44455</v>
      </c>
      <c r="G58" s="3">
        <v>5.7999999999999996E-3</v>
      </c>
      <c r="H58" s="3">
        <v>4.4499999999999998E-2</v>
      </c>
      <c r="I58" s="3">
        <v>5.0200000000000002E-2</v>
      </c>
    </row>
    <row r="59" spans="1:9" x14ac:dyDescent="0.2">
      <c r="A59" s="1" t="s">
        <v>26</v>
      </c>
      <c r="B59" s="1" t="s">
        <v>10</v>
      </c>
      <c r="C59" s="1" t="s">
        <v>17</v>
      </c>
      <c r="D59" s="1" t="s">
        <v>12</v>
      </c>
      <c r="E59" s="2">
        <v>46275</v>
      </c>
      <c r="F59" s="2">
        <v>35936</v>
      </c>
      <c r="G59" s="3">
        <v>2.5499999999999998E-2</v>
      </c>
      <c r="H59" s="3">
        <v>7.9100000000000004E-2</v>
      </c>
      <c r="I59" s="3">
        <v>0.1045</v>
      </c>
    </row>
    <row r="60" spans="1:9" x14ac:dyDescent="0.2">
      <c r="A60" s="1" t="s">
        <v>26</v>
      </c>
      <c r="B60" s="1" t="s">
        <v>10</v>
      </c>
      <c r="C60" s="1" t="s">
        <v>18</v>
      </c>
      <c r="D60" s="1" t="s">
        <v>12</v>
      </c>
      <c r="E60" s="2">
        <v>46275</v>
      </c>
      <c r="F60" s="2">
        <v>34408</v>
      </c>
      <c r="G60" s="3">
        <v>2.5499999999999998E-2</v>
      </c>
      <c r="H60" s="3">
        <v>7.5700000000000003E-2</v>
      </c>
      <c r="I60" s="3">
        <v>0.1011</v>
      </c>
    </row>
    <row r="61" spans="1:9" hidden="1" x14ac:dyDescent="0.2">
      <c r="A61" s="1"/>
      <c r="B61" s="1"/>
      <c r="C61" s="1"/>
      <c r="D61" s="1"/>
      <c r="E61" s="2"/>
      <c r="F61" s="2"/>
      <c r="G61" s="3"/>
      <c r="H61" s="3"/>
      <c r="I61" s="3"/>
    </row>
    <row r="62" spans="1:9" x14ac:dyDescent="0.2">
      <c r="A62" s="1" t="s">
        <v>26</v>
      </c>
      <c r="B62" s="1" t="s">
        <v>10</v>
      </c>
      <c r="C62" s="1" t="s">
        <v>19</v>
      </c>
      <c r="D62" s="1" t="s">
        <v>12</v>
      </c>
      <c r="E62" s="2">
        <v>46275</v>
      </c>
      <c r="F62" s="2">
        <v>35741</v>
      </c>
      <c r="G62" s="3">
        <v>2.5499999999999998E-2</v>
      </c>
      <c r="H62" s="3">
        <v>7.8600000000000003E-2</v>
      </c>
      <c r="I62" s="3">
        <v>0.1041</v>
      </c>
    </row>
    <row r="63" spans="1:9" x14ac:dyDescent="0.2">
      <c r="A63" s="1" t="s">
        <v>26</v>
      </c>
      <c r="B63" s="1" t="s">
        <v>10</v>
      </c>
      <c r="C63" s="1" t="s">
        <v>20</v>
      </c>
      <c r="D63" s="1" t="s">
        <v>12</v>
      </c>
      <c r="E63" s="2">
        <v>46275</v>
      </c>
      <c r="F63" s="2">
        <v>33576</v>
      </c>
      <c r="G63" s="3">
        <v>2.5499999999999998E-2</v>
      </c>
      <c r="H63" s="3">
        <v>7.3899999999999993E-2</v>
      </c>
      <c r="I63" s="3">
        <v>9.9299999999999999E-2</v>
      </c>
    </row>
    <row r="64" spans="1:9" x14ac:dyDescent="0.2">
      <c r="A64" s="1" t="s">
        <v>26</v>
      </c>
      <c r="B64" s="1" t="s">
        <v>10</v>
      </c>
      <c r="C64" s="1" t="s">
        <v>21</v>
      </c>
      <c r="D64" s="1" t="s">
        <v>12</v>
      </c>
      <c r="E64" s="2">
        <v>46275</v>
      </c>
      <c r="F64" s="2">
        <v>33112</v>
      </c>
      <c r="G64" s="3">
        <v>2.5499999999999998E-2</v>
      </c>
      <c r="H64" s="3">
        <v>7.2800000000000004E-2</v>
      </c>
      <c r="I64" s="3">
        <v>9.8299999999999998E-2</v>
      </c>
    </row>
    <row r="65" spans="1:9" x14ac:dyDescent="0.2">
      <c r="A65" s="1" t="s">
        <v>26</v>
      </c>
      <c r="B65" s="1" t="s">
        <v>10</v>
      </c>
      <c r="C65" s="1" t="s">
        <v>22</v>
      </c>
      <c r="D65" s="1" t="s">
        <v>12</v>
      </c>
      <c r="E65" s="2">
        <v>46275</v>
      </c>
      <c r="F65" s="2">
        <v>35111</v>
      </c>
      <c r="G65" s="3">
        <v>2.5499999999999998E-2</v>
      </c>
      <c r="H65" s="3">
        <v>7.7200000000000005E-2</v>
      </c>
      <c r="I65" s="3">
        <v>0.1027</v>
      </c>
    </row>
    <row r="66" spans="1:9" x14ac:dyDescent="0.2">
      <c r="A66" s="1" t="s">
        <v>26</v>
      </c>
      <c r="B66" s="1" t="s">
        <v>10</v>
      </c>
      <c r="C66" s="1" t="s">
        <v>23</v>
      </c>
      <c r="D66" s="1" t="s">
        <v>12</v>
      </c>
      <c r="E66" s="2">
        <v>46275</v>
      </c>
      <c r="F66" s="2">
        <v>35014</v>
      </c>
      <c r="G66" s="3">
        <v>2.5499999999999998E-2</v>
      </c>
      <c r="H66" s="3">
        <v>7.6999999999999999E-2</v>
      </c>
      <c r="I66" s="3">
        <v>0.10249999999999999</v>
      </c>
    </row>
    <row r="67" spans="1:9" x14ac:dyDescent="0.2">
      <c r="A67" s="1" t="s">
        <v>26</v>
      </c>
      <c r="B67" s="1" t="s">
        <v>10</v>
      </c>
      <c r="C67" s="1" t="s">
        <v>24</v>
      </c>
      <c r="D67" s="1" t="s">
        <v>12</v>
      </c>
      <c r="E67" s="2">
        <v>46275</v>
      </c>
      <c r="F67" s="2">
        <v>35535</v>
      </c>
      <c r="G67" s="3">
        <v>2.5499999999999998E-2</v>
      </c>
      <c r="H67" s="3">
        <v>7.8200000000000006E-2</v>
      </c>
      <c r="I67" s="3">
        <v>0.1036</v>
      </c>
    </row>
    <row r="68" spans="1:9" x14ac:dyDescent="0.2">
      <c r="A68" s="1" t="s">
        <v>26</v>
      </c>
      <c r="B68" s="1" t="s">
        <v>10</v>
      </c>
      <c r="C68" s="1" t="s">
        <v>25</v>
      </c>
      <c r="D68" s="1" t="s">
        <v>12</v>
      </c>
      <c r="E68" s="2">
        <v>46275</v>
      </c>
      <c r="F68" s="2">
        <v>35745</v>
      </c>
      <c r="G68" s="3">
        <v>2.5499999999999998E-2</v>
      </c>
      <c r="H68" s="3">
        <v>7.8600000000000003E-2</v>
      </c>
      <c r="I68" s="3">
        <v>0.1041</v>
      </c>
    </row>
    <row r="69" spans="1:9" x14ac:dyDescent="0.2">
      <c r="A69" s="1" t="s">
        <v>26</v>
      </c>
      <c r="B69" s="1" t="s">
        <v>10</v>
      </c>
      <c r="C69" s="1"/>
      <c r="D69" s="1" t="s">
        <v>12</v>
      </c>
      <c r="E69" s="2">
        <v>46275</v>
      </c>
      <c r="F69" s="2">
        <v>36318</v>
      </c>
      <c r="G69" s="3">
        <v>2.5499999999999998E-2</v>
      </c>
      <c r="H69" s="3">
        <v>7.9899999999999999E-2</v>
      </c>
      <c r="I69" s="3">
        <v>0.10539999999999999</v>
      </c>
    </row>
    <row r="70" spans="1:9" x14ac:dyDescent="0.2">
      <c r="A70" s="1" t="s">
        <v>9</v>
      </c>
      <c r="B70" s="1" t="s">
        <v>10</v>
      </c>
      <c r="C70" s="1"/>
      <c r="D70" s="1" t="s">
        <v>13</v>
      </c>
      <c r="E70" s="2">
        <v>22878</v>
      </c>
      <c r="F70" s="2">
        <v>6638</v>
      </c>
      <c r="G70" s="3">
        <v>4.5999999999999999E-3</v>
      </c>
      <c r="H70" s="3">
        <v>5.3E-3</v>
      </c>
      <c r="I70" s="3">
        <v>9.9000000000000008E-3</v>
      </c>
    </row>
    <row r="71" spans="1:9" x14ac:dyDescent="0.2">
      <c r="A71" s="1" t="s">
        <v>15</v>
      </c>
      <c r="B71" s="1" t="s">
        <v>10</v>
      </c>
      <c r="C71" s="1"/>
      <c r="D71" s="1" t="s">
        <v>13</v>
      </c>
      <c r="E71" s="2">
        <v>22878</v>
      </c>
      <c r="F71" s="2">
        <v>6886</v>
      </c>
      <c r="G71" s="3">
        <v>1.6999999999999999E-3</v>
      </c>
      <c r="H71" s="3">
        <v>2.0999999999999999E-3</v>
      </c>
      <c r="I71" s="3">
        <v>3.8E-3</v>
      </c>
    </row>
    <row r="72" spans="1:9" x14ac:dyDescent="0.2">
      <c r="A72" s="1" t="s">
        <v>16</v>
      </c>
      <c r="B72" s="1" t="s">
        <v>10</v>
      </c>
      <c r="C72" s="1" t="s">
        <v>17</v>
      </c>
      <c r="D72" s="1" t="s">
        <v>13</v>
      </c>
      <c r="E72" s="2">
        <v>22780</v>
      </c>
      <c r="F72" s="2">
        <v>21577</v>
      </c>
      <c r="G72" s="3">
        <v>2.8E-3</v>
      </c>
      <c r="H72" s="3">
        <v>2.1600000000000001E-2</v>
      </c>
      <c r="I72" s="3">
        <v>2.4400000000000002E-2</v>
      </c>
    </row>
    <row r="73" spans="1:9" x14ac:dyDescent="0.2">
      <c r="A73" s="1" t="s">
        <v>16</v>
      </c>
      <c r="B73" s="1" t="s">
        <v>10</v>
      </c>
      <c r="C73" s="1" t="s">
        <v>18</v>
      </c>
      <c r="D73" s="1" t="s">
        <v>13</v>
      </c>
      <c r="E73" s="2">
        <v>22780</v>
      </c>
      <c r="F73" s="2">
        <v>21043</v>
      </c>
      <c r="G73" s="3">
        <v>2.8E-3</v>
      </c>
      <c r="H73" s="3">
        <v>2.1000000000000001E-2</v>
      </c>
      <c r="I73" s="3">
        <v>2.3900000000000001E-2</v>
      </c>
    </row>
    <row r="74" spans="1:9" x14ac:dyDescent="0.2">
      <c r="A74" s="1" t="s">
        <v>16</v>
      </c>
      <c r="B74" s="1" t="s">
        <v>10</v>
      </c>
      <c r="C74" s="1" t="s">
        <v>19</v>
      </c>
      <c r="D74" s="1" t="s">
        <v>13</v>
      </c>
      <c r="E74" s="2">
        <v>22780</v>
      </c>
      <c r="F74" s="2">
        <v>21662</v>
      </c>
      <c r="G74" s="3">
        <v>2.8E-3</v>
      </c>
      <c r="H74" s="3">
        <v>2.1700000000000001E-2</v>
      </c>
      <c r="I74" s="3">
        <v>2.4500000000000001E-2</v>
      </c>
    </row>
    <row r="75" spans="1:9" x14ac:dyDescent="0.2">
      <c r="A75" s="1" t="s">
        <v>16</v>
      </c>
      <c r="B75" s="1" t="s">
        <v>10</v>
      </c>
      <c r="C75" s="1" t="s">
        <v>20</v>
      </c>
      <c r="D75" s="1" t="s">
        <v>13</v>
      </c>
      <c r="E75" s="2">
        <v>22780</v>
      </c>
      <c r="F75" s="2">
        <v>21428</v>
      </c>
      <c r="G75" s="3">
        <v>2.8E-3</v>
      </c>
      <c r="H75" s="3">
        <v>2.1399999999999999E-2</v>
      </c>
      <c r="I75" s="3">
        <v>2.4299999999999999E-2</v>
      </c>
    </row>
    <row r="76" spans="1:9" x14ac:dyDescent="0.2">
      <c r="A76" s="1" t="s">
        <v>16</v>
      </c>
      <c r="B76" s="1" t="s">
        <v>10</v>
      </c>
      <c r="C76" s="1" t="s">
        <v>21</v>
      </c>
      <c r="D76" s="1" t="s">
        <v>13</v>
      </c>
      <c r="E76" s="2">
        <v>22780</v>
      </c>
      <c r="F76" s="2">
        <v>21959</v>
      </c>
      <c r="G76" s="3">
        <v>2.8E-3</v>
      </c>
      <c r="H76" s="3">
        <v>2.1999999999999999E-2</v>
      </c>
      <c r="I76" s="3">
        <v>2.4799999999999999E-2</v>
      </c>
    </row>
    <row r="77" spans="1:9" x14ac:dyDescent="0.2">
      <c r="A77" s="1" t="s">
        <v>16</v>
      </c>
      <c r="B77" s="1" t="s">
        <v>10</v>
      </c>
      <c r="C77" s="1" t="s">
        <v>22</v>
      </c>
      <c r="D77" s="1" t="s">
        <v>13</v>
      </c>
      <c r="E77" s="2">
        <v>22780</v>
      </c>
      <c r="F77" s="2">
        <v>22222</v>
      </c>
      <c r="G77" s="3">
        <v>2.8E-3</v>
      </c>
      <c r="H77" s="3">
        <v>2.2200000000000001E-2</v>
      </c>
      <c r="I77" s="3">
        <v>2.5100000000000001E-2</v>
      </c>
    </row>
    <row r="78" spans="1:9" x14ac:dyDescent="0.2">
      <c r="A78" s="1" t="s">
        <v>16</v>
      </c>
      <c r="B78" s="1" t="s">
        <v>10</v>
      </c>
      <c r="C78" s="1" t="s">
        <v>23</v>
      </c>
      <c r="D78" s="1" t="s">
        <v>13</v>
      </c>
      <c r="E78" s="2">
        <v>22780</v>
      </c>
      <c r="F78" s="2">
        <v>21249</v>
      </c>
      <c r="G78" s="3">
        <v>2.8E-3</v>
      </c>
      <c r="H78" s="3">
        <v>2.12E-2</v>
      </c>
      <c r="I78" s="3">
        <v>2.41E-2</v>
      </c>
    </row>
    <row r="79" spans="1:9" x14ac:dyDescent="0.2">
      <c r="A79" s="1" t="s">
        <v>16</v>
      </c>
      <c r="B79" s="1" t="s">
        <v>10</v>
      </c>
      <c r="C79" s="1" t="s">
        <v>24</v>
      </c>
      <c r="D79" s="1" t="s">
        <v>13</v>
      </c>
      <c r="E79" s="2">
        <v>22780</v>
      </c>
      <c r="F79" s="2">
        <v>21982</v>
      </c>
      <c r="G79" s="3">
        <v>2.8E-3</v>
      </c>
      <c r="H79" s="3">
        <v>2.1999999999999999E-2</v>
      </c>
      <c r="I79" s="3">
        <v>2.4799999999999999E-2</v>
      </c>
    </row>
    <row r="80" spans="1:9" x14ac:dyDescent="0.2">
      <c r="A80" s="1" t="s">
        <v>16</v>
      </c>
      <c r="B80" s="1" t="s">
        <v>10</v>
      </c>
      <c r="C80" s="1" t="s">
        <v>25</v>
      </c>
      <c r="D80" s="1" t="s">
        <v>13</v>
      </c>
      <c r="E80" s="2">
        <v>22780</v>
      </c>
      <c r="F80" s="2">
        <v>22022</v>
      </c>
      <c r="G80" s="3">
        <v>2.8E-3</v>
      </c>
      <c r="H80" s="3">
        <v>2.1999999999999999E-2</v>
      </c>
      <c r="I80" s="3">
        <v>2.4899999999999999E-2</v>
      </c>
    </row>
    <row r="81" spans="1:9" x14ac:dyDescent="0.2">
      <c r="A81" s="1" t="s">
        <v>16</v>
      </c>
      <c r="B81" s="1" t="s">
        <v>10</v>
      </c>
      <c r="C81" s="1"/>
      <c r="D81" s="1" t="s">
        <v>13</v>
      </c>
      <c r="E81" s="2">
        <v>22780</v>
      </c>
      <c r="F81" s="2">
        <v>22378</v>
      </c>
      <c r="G81" s="3">
        <v>2.8E-3</v>
      </c>
      <c r="H81" s="3">
        <v>2.24E-2</v>
      </c>
      <c r="I81" s="3">
        <v>2.52E-2</v>
      </c>
    </row>
    <row r="82" spans="1:9" x14ac:dyDescent="0.2">
      <c r="A82" s="1" t="s">
        <v>26</v>
      </c>
      <c r="B82" s="1" t="s">
        <v>10</v>
      </c>
      <c r="C82" s="1" t="s">
        <v>17</v>
      </c>
      <c r="D82" s="1" t="s">
        <v>13</v>
      </c>
      <c r="E82" s="2">
        <v>22780</v>
      </c>
      <c r="F82" s="2">
        <v>13930</v>
      </c>
      <c r="G82" s="3">
        <v>1.2500000000000001E-2</v>
      </c>
      <c r="H82" s="3">
        <v>3.0599999999999999E-2</v>
      </c>
      <c r="I82" s="3">
        <v>4.3200000000000002E-2</v>
      </c>
    </row>
    <row r="83" spans="1:9" x14ac:dyDescent="0.2">
      <c r="A83" s="1" t="s">
        <v>26</v>
      </c>
      <c r="B83" s="1" t="s">
        <v>10</v>
      </c>
      <c r="C83" s="1" t="s">
        <v>18</v>
      </c>
      <c r="D83" s="1" t="s">
        <v>13</v>
      </c>
      <c r="E83" s="2">
        <v>22780</v>
      </c>
      <c r="F83" s="2">
        <v>16169</v>
      </c>
      <c r="G83" s="3">
        <v>1.2500000000000001E-2</v>
      </c>
      <c r="H83" s="3">
        <v>3.56E-2</v>
      </c>
      <c r="I83" s="3">
        <v>4.8099999999999997E-2</v>
      </c>
    </row>
    <row r="84" spans="1:9" x14ac:dyDescent="0.2">
      <c r="A84" s="1" t="s">
        <v>26</v>
      </c>
      <c r="B84" s="1" t="s">
        <v>10</v>
      </c>
      <c r="C84" s="1" t="s">
        <v>19</v>
      </c>
      <c r="D84" s="1" t="s">
        <v>13</v>
      </c>
      <c r="E84" s="2">
        <v>22780</v>
      </c>
      <c r="F84" s="2">
        <v>15404</v>
      </c>
      <c r="G84" s="3">
        <v>1.2500000000000001E-2</v>
      </c>
      <c r="H84" s="3">
        <v>3.39E-2</v>
      </c>
      <c r="I84" s="3">
        <v>4.6399999999999997E-2</v>
      </c>
    </row>
    <row r="85" spans="1:9" x14ac:dyDescent="0.2">
      <c r="A85" s="1" t="s">
        <v>26</v>
      </c>
      <c r="B85" s="1" t="s">
        <v>10</v>
      </c>
      <c r="C85" s="1" t="s">
        <v>20</v>
      </c>
      <c r="D85" s="1" t="s">
        <v>13</v>
      </c>
      <c r="E85" s="2">
        <v>22780</v>
      </c>
      <c r="F85" s="2">
        <v>16253</v>
      </c>
      <c r="G85" s="3">
        <v>1.2500000000000001E-2</v>
      </c>
      <c r="H85" s="3">
        <v>3.5799999999999998E-2</v>
      </c>
      <c r="I85" s="3">
        <v>4.8300000000000003E-2</v>
      </c>
    </row>
    <row r="86" spans="1:9" x14ac:dyDescent="0.2">
      <c r="A86" s="1" t="s">
        <v>26</v>
      </c>
      <c r="B86" s="1" t="s">
        <v>10</v>
      </c>
      <c r="C86" s="1" t="s">
        <v>21</v>
      </c>
      <c r="D86" s="1" t="s">
        <v>13</v>
      </c>
      <c r="E86" s="2">
        <v>22780</v>
      </c>
      <c r="F86" s="2">
        <v>16259</v>
      </c>
      <c r="G86" s="3">
        <v>1.2500000000000001E-2</v>
      </c>
      <c r="H86" s="3">
        <v>3.5799999999999998E-2</v>
      </c>
      <c r="I86" s="3">
        <v>4.8300000000000003E-2</v>
      </c>
    </row>
    <row r="87" spans="1:9" x14ac:dyDescent="0.2">
      <c r="A87" s="1" t="s">
        <v>26</v>
      </c>
      <c r="B87" s="1" t="s">
        <v>10</v>
      </c>
      <c r="C87" s="1" t="s">
        <v>22</v>
      </c>
      <c r="D87" s="1" t="s">
        <v>13</v>
      </c>
      <c r="E87" s="2">
        <v>22780</v>
      </c>
      <c r="F87" s="2">
        <v>17995</v>
      </c>
      <c r="G87" s="3">
        <v>1.2500000000000001E-2</v>
      </c>
      <c r="H87" s="3">
        <v>3.9600000000000003E-2</v>
      </c>
      <c r="I87" s="3">
        <v>5.21E-2</v>
      </c>
    </row>
    <row r="88" spans="1:9" x14ac:dyDescent="0.2">
      <c r="A88" s="1" t="s">
        <v>26</v>
      </c>
      <c r="B88" s="1" t="s">
        <v>10</v>
      </c>
      <c r="C88" s="1" t="s">
        <v>23</v>
      </c>
      <c r="D88" s="1" t="s">
        <v>13</v>
      </c>
      <c r="E88" s="2">
        <v>22780</v>
      </c>
      <c r="F88" s="2">
        <v>15209</v>
      </c>
      <c r="G88" s="3">
        <v>1.2500000000000001E-2</v>
      </c>
      <c r="H88" s="3">
        <v>3.3500000000000002E-2</v>
      </c>
      <c r="I88" s="3">
        <v>4.5999999999999999E-2</v>
      </c>
    </row>
    <row r="89" spans="1:9" x14ac:dyDescent="0.2">
      <c r="A89" s="1" t="s">
        <v>26</v>
      </c>
      <c r="B89" s="1" t="s">
        <v>10</v>
      </c>
      <c r="C89" s="1" t="s">
        <v>24</v>
      </c>
      <c r="D89" s="1" t="s">
        <v>13</v>
      </c>
      <c r="E89" s="2">
        <v>22780</v>
      </c>
      <c r="F89" s="2">
        <v>17198</v>
      </c>
      <c r="G89" s="3">
        <v>1.2500000000000001E-2</v>
      </c>
      <c r="H89" s="3">
        <v>3.78E-2</v>
      </c>
      <c r="I89" s="3">
        <v>5.04E-2</v>
      </c>
    </row>
    <row r="90" spans="1:9" x14ac:dyDescent="0.2">
      <c r="A90" s="1" t="s">
        <v>26</v>
      </c>
      <c r="B90" s="1" t="s">
        <v>10</v>
      </c>
      <c r="C90" s="1" t="s">
        <v>25</v>
      </c>
      <c r="D90" s="1" t="s">
        <v>13</v>
      </c>
      <c r="E90" s="2">
        <v>22780</v>
      </c>
      <c r="F90" s="2">
        <v>16022</v>
      </c>
      <c r="G90" s="3">
        <v>1.2500000000000001E-2</v>
      </c>
      <c r="H90" s="3">
        <v>3.5200000000000002E-2</v>
      </c>
      <c r="I90" s="3">
        <v>4.7800000000000002E-2</v>
      </c>
    </row>
    <row r="91" spans="1:9" x14ac:dyDescent="0.2">
      <c r="A91" s="1" t="s">
        <v>26</v>
      </c>
      <c r="B91" s="1" t="s">
        <v>10</v>
      </c>
      <c r="C91" s="1"/>
      <c r="D91" s="1" t="s">
        <v>13</v>
      </c>
      <c r="E91" s="2">
        <v>22780</v>
      </c>
      <c r="F91" s="2">
        <v>15920</v>
      </c>
      <c r="G91" s="3">
        <v>1.2500000000000001E-2</v>
      </c>
      <c r="H91" s="3">
        <v>3.5000000000000003E-2</v>
      </c>
      <c r="I91" s="3">
        <v>4.7600000000000003E-2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37470-AD9C-6C43-A613-0AD35C8AE2C1}">
  <dimension ref="A1:I93"/>
  <sheetViews>
    <sheetView workbookViewId="0">
      <selection activeCell="E12" sqref="A1:I93"/>
    </sheetView>
  </sheetViews>
  <sheetFormatPr baseColWidth="10" defaultRowHeight="16" x14ac:dyDescent="0.2"/>
  <cols>
    <col min="1" max="1" width="11.6640625" bestFit="1" customWidth="1"/>
    <col min="2" max="3" width="7" bestFit="1" customWidth="1"/>
    <col min="4" max="4" width="10.83203125" bestFit="1" customWidth="1"/>
    <col min="5" max="5" width="11.5" bestFit="1" customWidth="1"/>
    <col min="6" max="6" width="12.6640625" bestFit="1" customWidth="1"/>
    <col min="7" max="7" width="9.6640625" bestFit="1" customWidth="1"/>
    <col min="9" max="9" width="9.33203125" bestFit="1" customWidth="1"/>
  </cols>
  <sheetData>
    <row r="1" spans="1:9" x14ac:dyDescent="0.2">
      <c r="A1" s="4" t="s">
        <v>0</v>
      </c>
      <c r="B1" s="4" t="s">
        <v>1</v>
      </c>
      <c r="C1" s="4" t="s">
        <v>2</v>
      </c>
      <c r="D1" s="4" t="s">
        <v>30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">
      <c r="A2" s="4" t="s">
        <v>9</v>
      </c>
      <c r="B2" s="4" t="s">
        <v>10</v>
      </c>
      <c r="C2" s="4"/>
      <c r="D2" s="4" t="s">
        <v>11</v>
      </c>
      <c r="E2" s="5">
        <v>19302</v>
      </c>
      <c r="F2" s="5">
        <v>5688</v>
      </c>
      <c r="G2" s="6">
        <v>3.8999999999999998E-3</v>
      </c>
      <c r="H2" s="6">
        <v>4.5999999999999999E-3</v>
      </c>
      <c r="I2" s="6">
        <v>8.3999999999999995E-3</v>
      </c>
    </row>
    <row r="3" spans="1:9" x14ac:dyDescent="0.2">
      <c r="A3" s="4" t="s">
        <v>15</v>
      </c>
      <c r="B3" s="4" t="s">
        <v>10</v>
      </c>
      <c r="C3" s="4"/>
      <c r="D3" s="4" t="s">
        <v>11</v>
      </c>
      <c r="E3" s="5">
        <v>19302</v>
      </c>
      <c r="F3" s="5">
        <v>5895</v>
      </c>
      <c r="G3" s="6">
        <v>1.4E-3</v>
      </c>
      <c r="H3" s="6">
        <v>1.8E-3</v>
      </c>
      <c r="I3" s="6">
        <v>3.2000000000000002E-3</v>
      </c>
    </row>
    <row r="4" spans="1:9" x14ac:dyDescent="0.2">
      <c r="A4" s="4" t="s">
        <v>16</v>
      </c>
      <c r="B4" s="4" t="s">
        <v>10</v>
      </c>
      <c r="C4" s="4" t="s">
        <v>17</v>
      </c>
      <c r="D4" s="4" t="s">
        <v>11</v>
      </c>
      <c r="E4" s="5">
        <v>19236</v>
      </c>
      <c r="F4" s="5">
        <v>19079</v>
      </c>
      <c r="G4" s="6">
        <v>2.3999999999999998E-3</v>
      </c>
      <c r="H4" s="6">
        <v>1.9099999999999999E-2</v>
      </c>
      <c r="I4" s="6">
        <v>2.1499999999999998E-2</v>
      </c>
    </row>
    <row r="5" spans="1:9" x14ac:dyDescent="0.2">
      <c r="A5" s="4" t="s">
        <v>16</v>
      </c>
      <c r="B5" s="4" t="s">
        <v>10</v>
      </c>
      <c r="C5" s="4" t="s">
        <v>18</v>
      </c>
      <c r="D5" s="4" t="s">
        <v>11</v>
      </c>
      <c r="E5" s="5">
        <v>19236</v>
      </c>
      <c r="F5" s="5">
        <v>18349</v>
      </c>
      <c r="G5" s="6">
        <v>2.3999999999999998E-3</v>
      </c>
      <c r="H5" s="6">
        <v>1.83E-2</v>
      </c>
      <c r="I5" s="6">
        <v>2.0799999999999999E-2</v>
      </c>
    </row>
    <row r="6" spans="1:9" x14ac:dyDescent="0.2">
      <c r="A6" s="4" t="s">
        <v>16</v>
      </c>
      <c r="B6" s="4" t="s">
        <v>10</v>
      </c>
      <c r="C6" s="4" t="s">
        <v>19</v>
      </c>
      <c r="D6" s="4" t="s">
        <v>11</v>
      </c>
      <c r="E6" s="5">
        <v>19236</v>
      </c>
      <c r="F6" s="5">
        <v>18350</v>
      </c>
      <c r="G6" s="6">
        <v>2.3999999999999998E-3</v>
      </c>
      <c r="H6" s="6">
        <v>1.84E-2</v>
      </c>
      <c r="I6" s="6">
        <v>2.0799999999999999E-2</v>
      </c>
    </row>
    <row r="7" spans="1:9" x14ac:dyDescent="0.2">
      <c r="A7" s="4" t="s">
        <v>16</v>
      </c>
      <c r="B7" s="4" t="s">
        <v>10</v>
      </c>
      <c r="C7" s="4" t="s">
        <v>20</v>
      </c>
      <c r="D7" s="4" t="s">
        <v>11</v>
      </c>
      <c r="E7" s="5">
        <v>19236</v>
      </c>
      <c r="F7" s="5">
        <v>19721</v>
      </c>
      <c r="G7" s="6">
        <v>2.3999999999999998E-3</v>
      </c>
      <c r="H7" s="6">
        <v>1.9699999999999999E-2</v>
      </c>
      <c r="I7" s="6">
        <v>2.2100000000000002E-2</v>
      </c>
    </row>
    <row r="8" spans="1:9" x14ac:dyDescent="0.2">
      <c r="A8" s="4" t="s">
        <v>16</v>
      </c>
      <c r="B8" s="4" t="s">
        <v>10</v>
      </c>
      <c r="C8" s="4" t="s">
        <v>21</v>
      </c>
      <c r="D8" s="4" t="s">
        <v>11</v>
      </c>
      <c r="E8" s="5">
        <v>19236</v>
      </c>
      <c r="F8" s="5">
        <v>18483</v>
      </c>
      <c r="G8" s="6">
        <v>2.3999999999999998E-3</v>
      </c>
      <c r="H8" s="6">
        <v>1.8499999999999999E-2</v>
      </c>
      <c r="I8" s="6">
        <v>2.0899999999999998E-2</v>
      </c>
    </row>
    <row r="9" spans="1:9" x14ac:dyDescent="0.2">
      <c r="A9" s="4" t="s">
        <v>16</v>
      </c>
      <c r="B9" s="4" t="s">
        <v>10</v>
      </c>
      <c r="C9" s="4" t="s">
        <v>22</v>
      </c>
      <c r="D9" s="4" t="s">
        <v>11</v>
      </c>
      <c r="E9" s="5">
        <v>19236</v>
      </c>
      <c r="F9" s="5">
        <v>18850</v>
      </c>
      <c r="G9" s="6">
        <v>2.3999999999999998E-3</v>
      </c>
      <c r="H9" s="6">
        <v>1.8800000000000001E-2</v>
      </c>
      <c r="I9" s="6">
        <v>2.1299999999999999E-2</v>
      </c>
    </row>
    <row r="10" spans="1:9" x14ac:dyDescent="0.2">
      <c r="A10" s="4" t="s">
        <v>16</v>
      </c>
      <c r="B10" s="4" t="s">
        <v>10</v>
      </c>
      <c r="C10" s="4" t="s">
        <v>23</v>
      </c>
      <c r="D10" s="4" t="s">
        <v>11</v>
      </c>
      <c r="E10" s="5">
        <v>19236</v>
      </c>
      <c r="F10" s="5">
        <v>18663</v>
      </c>
      <c r="G10" s="6">
        <v>2.3999999999999998E-3</v>
      </c>
      <c r="H10" s="6">
        <v>1.8700000000000001E-2</v>
      </c>
      <c r="I10" s="6">
        <v>2.1100000000000001E-2</v>
      </c>
    </row>
    <row r="11" spans="1:9" x14ac:dyDescent="0.2">
      <c r="A11" s="4" t="s">
        <v>16</v>
      </c>
      <c r="B11" s="4" t="s">
        <v>10</v>
      </c>
      <c r="C11" s="4" t="s">
        <v>24</v>
      </c>
      <c r="D11" s="4" t="s">
        <v>11</v>
      </c>
      <c r="E11" s="5">
        <v>19236</v>
      </c>
      <c r="F11" s="5">
        <v>18578</v>
      </c>
      <c r="G11" s="6">
        <v>2.3999999999999998E-3</v>
      </c>
      <c r="H11" s="6">
        <v>1.8599999999999998E-2</v>
      </c>
      <c r="I11" s="6">
        <v>2.1000000000000001E-2</v>
      </c>
    </row>
    <row r="12" spans="1:9" x14ac:dyDescent="0.2">
      <c r="A12" s="4" t="s">
        <v>16</v>
      </c>
      <c r="B12" s="4" t="s">
        <v>10</v>
      </c>
      <c r="C12" s="4" t="s">
        <v>25</v>
      </c>
      <c r="D12" s="4" t="s">
        <v>11</v>
      </c>
      <c r="E12" s="5">
        <v>19236</v>
      </c>
      <c r="F12" s="5">
        <v>17724</v>
      </c>
      <c r="G12" s="6">
        <v>2.3999999999999998E-3</v>
      </c>
      <c r="H12" s="6">
        <v>1.77E-2</v>
      </c>
      <c r="I12" s="6">
        <v>2.01E-2</v>
      </c>
    </row>
    <row r="13" spans="1:9" x14ac:dyDescent="0.2">
      <c r="A13" s="4" t="s">
        <v>16</v>
      </c>
      <c r="B13" s="4" t="s">
        <v>10</v>
      </c>
      <c r="C13" s="4"/>
      <c r="D13" s="4" t="s">
        <v>11</v>
      </c>
      <c r="E13" s="5">
        <v>19236</v>
      </c>
      <c r="F13" s="5">
        <v>18655</v>
      </c>
      <c r="G13" s="6">
        <v>2.3999999999999998E-3</v>
      </c>
      <c r="H13" s="6">
        <v>1.8700000000000001E-2</v>
      </c>
      <c r="I13" s="6">
        <v>2.1100000000000001E-2</v>
      </c>
    </row>
    <row r="14" spans="1:9" x14ac:dyDescent="0.2">
      <c r="A14" s="4" t="s">
        <v>26</v>
      </c>
      <c r="B14" s="4" t="s">
        <v>10</v>
      </c>
      <c r="C14" s="4" t="s">
        <v>17</v>
      </c>
      <c r="D14" s="4" t="s">
        <v>11</v>
      </c>
      <c r="E14" s="5">
        <v>19236</v>
      </c>
      <c r="F14" s="5">
        <v>13491</v>
      </c>
      <c r="G14" s="6">
        <v>1.06E-2</v>
      </c>
      <c r="H14" s="6">
        <v>2.9700000000000001E-2</v>
      </c>
      <c r="I14" s="6">
        <v>4.0300000000000002E-2</v>
      </c>
    </row>
    <row r="15" spans="1:9" x14ac:dyDescent="0.2">
      <c r="A15" s="4" t="s">
        <v>26</v>
      </c>
      <c r="B15" s="4" t="s">
        <v>10</v>
      </c>
      <c r="C15" s="4" t="s">
        <v>18</v>
      </c>
      <c r="D15" s="4" t="s">
        <v>11</v>
      </c>
      <c r="E15" s="5">
        <v>19236</v>
      </c>
      <c r="F15" s="5">
        <v>14499</v>
      </c>
      <c r="G15" s="6">
        <v>1.06E-2</v>
      </c>
      <c r="H15" s="6">
        <v>3.1899999999999998E-2</v>
      </c>
      <c r="I15" s="6">
        <v>4.2500000000000003E-2</v>
      </c>
    </row>
    <row r="16" spans="1:9" x14ac:dyDescent="0.2">
      <c r="A16" s="4" t="s">
        <v>26</v>
      </c>
      <c r="B16" s="4" t="s">
        <v>10</v>
      </c>
      <c r="C16" s="4" t="s">
        <v>19</v>
      </c>
      <c r="D16" s="4" t="s">
        <v>11</v>
      </c>
      <c r="E16" s="5">
        <v>19236</v>
      </c>
      <c r="F16" s="5">
        <v>15194</v>
      </c>
      <c r="G16" s="6">
        <v>1.06E-2</v>
      </c>
      <c r="H16" s="6">
        <v>3.3399999999999999E-2</v>
      </c>
      <c r="I16" s="6">
        <v>4.3999999999999997E-2</v>
      </c>
    </row>
    <row r="17" spans="1:9" x14ac:dyDescent="0.2">
      <c r="A17" s="4" t="s">
        <v>26</v>
      </c>
      <c r="B17" s="4" t="s">
        <v>10</v>
      </c>
      <c r="C17" s="4" t="s">
        <v>20</v>
      </c>
      <c r="D17" s="4" t="s">
        <v>11</v>
      </c>
      <c r="E17" s="5">
        <v>19236</v>
      </c>
      <c r="F17" s="5">
        <v>14722</v>
      </c>
      <c r="G17" s="6">
        <v>1.06E-2</v>
      </c>
      <c r="H17" s="6">
        <v>3.2399999999999998E-2</v>
      </c>
      <c r="I17" s="6">
        <v>4.2999999999999997E-2</v>
      </c>
    </row>
    <row r="18" spans="1:9" x14ac:dyDescent="0.2">
      <c r="A18" s="4" t="s">
        <v>26</v>
      </c>
      <c r="B18" s="4" t="s">
        <v>10</v>
      </c>
      <c r="C18" s="4" t="s">
        <v>21</v>
      </c>
      <c r="D18" s="4" t="s">
        <v>11</v>
      </c>
      <c r="E18" s="5">
        <v>19236</v>
      </c>
      <c r="F18" s="5">
        <v>15015</v>
      </c>
      <c r="G18" s="6">
        <v>1.06E-2</v>
      </c>
      <c r="H18" s="6">
        <v>3.3000000000000002E-2</v>
      </c>
      <c r="I18" s="6">
        <v>4.36E-2</v>
      </c>
    </row>
    <row r="19" spans="1:9" x14ac:dyDescent="0.2">
      <c r="A19" s="4" t="s">
        <v>26</v>
      </c>
      <c r="B19" s="4" t="s">
        <v>10</v>
      </c>
      <c r="C19" s="4" t="s">
        <v>22</v>
      </c>
      <c r="D19" s="4" t="s">
        <v>11</v>
      </c>
      <c r="E19" s="5">
        <v>19236</v>
      </c>
      <c r="F19" s="5">
        <v>14017</v>
      </c>
      <c r="G19" s="6">
        <v>1.06E-2</v>
      </c>
      <c r="H19" s="6">
        <v>3.0800000000000001E-2</v>
      </c>
      <c r="I19" s="6">
        <v>4.1399999999999999E-2</v>
      </c>
    </row>
    <row r="20" spans="1:9" x14ac:dyDescent="0.2">
      <c r="A20" s="4" t="s">
        <v>26</v>
      </c>
      <c r="B20" s="4" t="s">
        <v>10</v>
      </c>
      <c r="C20" s="4" t="s">
        <v>23</v>
      </c>
      <c r="D20" s="4" t="s">
        <v>11</v>
      </c>
      <c r="E20" s="5">
        <v>19236</v>
      </c>
      <c r="F20" s="5">
        <v>14081</v>
      </c>
      <c r="G20" s="6">
        <v>1.06E-2</v>
      </c>
      <c r="H20" s="6">
        <v>3.1E-2</v>
      </c>
      <c r="I20" s="6">
        <v>4.1599999999999998E-2</v>
      </c>
    </row>
    <row r="21" spans="1:9" x14ac:dyDescent="0.2">
      <c r="A21" s="4" t="s">
        <v>26</v>
      </c>
      <c r="B21" s="4" t="s">
        <v>10</v>
      </c>
      <c r="C21" s="4" t="s">
        <v>24</v>
      </c>
      <c r="D21" s="4" t="s">
        <v>11</v>
      </c>
      <c r="E21" s="5">
        <v>19236</v>
      </c>
      <c r="F21" s="5">
        <v>14469</v>
      </c>
      <c r="G21" s="6">
        <v>1.06E-2</v>
      </c>
      <c r="H21" s="6">
        <v>3.1800000000000002E-2</v>
      </c>
      <c r="I21" s="6">
        <v>4.24E-2</v>
      </c>
    </row>
    <row r="22" spans="1:9" x14ac:dyDescent="0.2">
      <c r="A22" s="4" t="s">
        <v>26</v>
      </c>
      <c r="B22" s="4" t="s">
        <v>10</v>
      </c>
      <c r="C22" s="4" t="s">
        <v>25</v>
      </c>
      <c r="D22" s="4" t="s">
        <v>11</v>
      </c>
      <c r="E22" s="5">
        <v>19236</v>
      </c>
      <c r="F22" s="5">
        <v>32461</v>
      </c>
      <c r="G22" s="6">
        <v>1.06E-2</v>
      </c>
      <c r="H22" s="6">
        <v>7.1400000000000005E-2</v>
      </c>
      <c r="I22" s="6">
        <v>8.2000000000000003E-2</v>
      </c>
    </row>
    <row r="23" spans="1:9" x14ac:dyDescent="0.2">
      <c r="A23" s="4" t="s">
        <v>26</v>
      </c>
      <c r="B23" s="4" t="s">
        <v>10</v>
      </c>
      <c r="C23" s="4"/>
      <c r="D23" s="4" t="s">
        <v>11</v>
      </c>
      <c r="E23" s="5">
        <v>19236</v>
      </c>
      <c r="F23" s="5">
        <v>16892</v>
      </c>
      <c r="G23" s="6">
        <v>1.06E-2</v>
      </c>
      <c r="H23" s="6">
        <v>3.7199999999999997E-2</v>
      </c>
      <c r="I23" s="6">
        <v>4.7699999999999999E-2</v>
      </c>
    </row>
    <row r="24" spans="1:9" x14ac:dyDescent="0.2">
      <c r="A24" s="7" t="s">
        <v>27</v>
      </c>
      <c r="B24" s="7"/>
      <c r="C24" s="7"/>
      <c r="D24" s="7"/>
      <c r="E24" s="8">
        <f>MEDIAN(E2:E23)</f>
        <v>19236</v>
      </c>
      <c r="F24" s="8">
        <f t="shared" ref="F24:I24" si="0">MEDIAN(F2:F23)</f>
        <v>17308</v>
      </c>
      <c r="G24" s="9">
        <f t="shared" si="0"/>
        <v>3.15E-3</v>
      </c>
      <c r="H24" s="9">
        <f t="shared" si="0"/>
        <v>1.9400000000000001E-2</v>
      </c>
      <c r="I24" s="9">
        <f t="shared" si="0"/>
        <v>2.18E-2</v>
      </c>
    </row>
    <row r="25" spans="1:9" x14ac:dyDescent="0.2">
      <c r="A25" s="4" t="s">
        <v>9</v>
      </c>
      <c r="B25" s="4" t="s">
        <v>10</v>
      </c>
      <c r="C25" s="4"/>
      <c r="D25" s="4" t="s">
        <v>12</v>
      </c>
      <c r="E25" s="5">
        <v>46554</v>
      </c>
      <c r="F25" s="5">
        <v>13675</v>
      </c>
      <c r="G25" s="6">
        <v>9.2999999999999992E-3</v>
      </c>
      <c r="H25" s="6">
        <v>1.09E-2</v>
      </c>
      <c r="I25" s="6">
        <v>2.0299999999999999E-2</v>
      </c>
    </row>
    <row r="26" spans="1:9" x14ac:dyDescent="0.2">
      <c r="A26" s="4" t="s">
        <v>15</v>
      </c>
      <c r="B26" s="4" t="s">
        <v>10</v>
      </c>
      <c r="C26" s="4"/>
      <c r="D26" s="4" t="s">
        <v>12</v>
      </c>
      <c r="E26" s="5">
        <v>46554</v>
      </c>
      <c r="F26" s="5">
        <v>13598</v>
      </c>
      <c r="G26" s="6">
        <v>3.5000000000000001E-3</v>
      </c>
      <c r="H26" s="6">
        <v>4.1000000000000003E-3</v>
      </c>
      <c r="I26" s="6">
        <v>7.6E-3</v>
      </c>
    </row>
    <row r="27" spans="1:9" x14ac:dyDescent="0.2">
      <c r="A27" s="4" t="s">
        <v>16</v>
      </c>
      <c r="B27" s="4" t="s">
        <v>10</v>
      </c>
      <c r="C27" s="4" t="s">
        <v>17</v>
      </c>
      <c r="D27" s="4" t="s">
        <v>12</v>
      </c>
      <c r="E27" s="5">
        <v>46275</v>
      </c>
      <c r="F27" s="5">
        <v>44480</v>
      </c>
      <c r="G27" s="6">
        <v>5.7999999999999996E-3</v>
      </c>
      <c r="H27" s="6">
        <v>4.4499999999999998E-2</v>
      </c>
      <c r="I27" s="6">
        <v>5.0299999999999997E-2</v>
      </c>
    </row>
    <row r="28" spans="1:9" x14ac:dyDescent="0.2">
      <c r="A28" s="4" t="s">
        <v>16</v>
      </c>
      <c r="B28" s="4" t="s">
        <v>10</v>
      </c>
      <c r="C28" s="4" t="s">
        <v>18</v>
      </c>
      <c r="D28" s="4" t="s">
        <v>12</v>
      </c>
      <c r="E28" s="5">
        <v>46275</v>
      </c>
      <c r="F28" s="5">
        <v>45388</v>
      </c>
      <c r="G28" s="6">
        <v>5.7999999999999996E-3</v>
      </c>
      <c r="H28" s="6">
        <v>4.5400000000000003E-2</v>
      </c>
      <c r="I28" s="6">
        <v>5.1200000000000002E-2</v>
      </c>
    </row>
    <row r="29" spans="1:9" x14ac:dyDescent="0.2">
      <c r="A29" s="4" t="s">
        <v>16</v>
      </c>
      <c r="B29" s="4" t="s">
        <v>10</v>
      </c>
      <c r="C29" s="4" t="s">
        <v>19</v>
      </c>
      <c r="D29" s="4" t="s">
        <v>12</v>
      </c>
      <c r="E29" s="5">
        <v>46275</v>
      </c>
      <c r="F29" s="5">
        <v>45333</v>
      </c>
      <c r="G29" s="6">
        <v>5.7999999999999996E-3</v>
      </c>
      <c r="H29" s="6">
        <v>4.53E-2</v>
      </c>
      <c r="I29" s="6">
        <v>5.11E-2</v>
      </c>
    </row>
    <row r="30" spans="1:9" x14ac:dyDescent="0.2">
      <c r="A30" s="4" t="s">
        <v>16</v>
      </c>
      <c r="B30" s="4" t="s">
        <v>10</v>
      </c>
      <c r="C30" s="4" t="s">
        <v>20</v>
      </c>
      <c r="D30" s="4" t="s">
        <v>12</v>
      </c>
      <c r="E30" s="5">
        <v>46275</v>
      </c>
      <c r="F30" s="5">
        <v>46199</v>
      </c>
      <c r="G30" s="6">
        <v>5.7999999999999996E-3</v>
      </c>
      <c r="H30" s="6">
        <v>4.6199999999999998E-2</v>
      </c>
      <c r="I30" s="6">
        <v>5.1999999999999998E-2</v>
      </c>
    </row>
    <row r="31" spans="1:9" x14ac:dyDescent="0.2">
      <c r="A31" s="4" t="s">
        <v>16</v>
      </c>
      <c r="B31" s="4" t="s">
        <v>10</v>
      </c>
      <c r="C31" s="4" t="s">
        <v>21</v>
      </c>
      <c r="D31" s="4" t="s">
        <v>12</v>
      </c>
      <c r="E31" s="5">
        <v>46275</v>
      </c>
      <c r="F31" s="5">
        <v>46260</v>
      </c>
      <c r="G31" s="6">
        <v>5.7999999999999996E-3</v>
      </c>
      <c r="H31" s="6">
        <v>4.6300000000000001E-2</v>
      </c>
      <c r="I31" s="6">
        <v>5.1999999999999998E-2</v>
      </c>
    </row>
    <row r="32" spans="1:9" x14ac:dyDescent="0.2">
      <c r="A32" s="4" t="s">
        <v>16</v>
      </c>
      <c r="B32" s="4" t="s">
        <v>10</v>
      </c>
      <c r="C32" s="4" t="s">
        <v>22</v>
      </c>
      <c r="D32" s="4" t="s">
        <v>12</v>
      </c>
      <c r="E32" s="5">
        <v>46275</v>
      </c>
      <c r="F32" s="5">
        <v>45772</v>
      </c>
      <c r="G32" s="6">
        <v>5.7999999999999996E-3</v>
      </c>
      <c r="H32" s="6">
        <v>4.58E-2</v>
      </c>
      <c r="I32" s="6">
        <v>5.16E-2</v>
      </c>
    </row>
    <row r="33" spans="1:9" x14ac:dyDescent="0.2">
      <c r="A33" s="4" t="s">
        <v>16</v>
      </c>
      <c r="B33" s="4" t="s">
        <v>10</v>
      </c>
      <c r="C33" s="4" t="s">
        <v>23</v>
      </c>
      <c r="D33" s="4" t="s">
        <v>12</v>
      </c>
      <c r="E33" s="5">
        <v>46275</v>
      </c>
      <c r="F33" s="5">
        <v>43960</v>
      </c>
      <c r="G33" s="6">
        <v>5.7999999999999996E-3</v>
      </c>
      <c r="H33" s="6">
        <v>4.3999999999999997E-2</v>
      </c>
      <c r="I33" s="6">
        <v>4.9700000000000001E-2</v>
      </c>
    </row>
    <row r="34" spans="1:9" x14ac:dyDescent="0.2">
      <c r="A34" s="4" t="s">
        <v>16</v>
      </c>
      <c r="B34" s="4" t="s">
        <v>10</v>
      </c>
      <c r="C34" s="4" t="s">
        <v>24</v>
      </c>
      <c r="D34" s="4" t="s">
        <v>12</v>
      </c>
      <c r="E34" s="5">
        <v>46275</v>
      </c>
      <c r="F34" s="5">
        <v>46886</v>
      </c>
      <c r="G34" s="6">
        <v>5.7999999999999996E-3</v>
      </c>
      <c r="H34" s="6">
        <v>4.6899999999999997E-2</v>
      </c>
      <c r="I34" s="6">
        <v>5.2699999999999997E-2</v>
      </c>
    </row>
    <row r="35" spans="1:9" x14ac:dyDescent="0.2">
      <c r="A35" s="4" t="s">
        <v>16</v>
      </c>
      <c r="B35" s="4" t="s">
        <v>10</v>
      </c>
      <c r="C35" s="4" t="s">
        <v>25</v>
      </c>
      <c r="D35" s="4" t="s">
        <v>12</v>
      </c>
      <c r="E35" s="5">
        <v>46275</v>
      </c>
      <c r="F35" s="5">
        <v>45045</v>
      </c>
      <c r="G35" s="6">
        <v>5.7999999999999996E-3</v>
      </c>
      <c r="H35" s="6">
        <v>4.4999999999999998E-2</v>
      </c>
      <c r="I35" s="6">
        <v>5.0799999999999998E-2</v>
      </c>
    </row>
    <row r="36" spans="1:9" x14ac:dyDescent="0.2">
      <c r="A36" s="4" t="s">
        <v>16</v>
      </c>
      <c r="B36" s="4" t="s">
        <v>10</v>
      </c>
      <c r="C36" s="4"/>
      <c r="D36" s="4" t="s">
        <v>12</v>
      </c>
      <c r="E36" s="5">
        <v>46275</v>
      </c>
      <c r="F36" s="5">
        <v>44455</v>
      </c>
      <c r="G36" s="6">
        <v>5.7999999999999996E-3</v>
      </c>
      <c r="H36" s="6">
        <v>4.4499999999999998E-2</v>
      </c>
      <c r="I36" s="6">
        <v>5.0200000000000002E-2</v>
      </c>
    </row>
    <row r="37" spans="1:9" x14ac:dyDescent="0.2">
      <c r="A37" s="4" t="s">
        <v>26</v>
      </c>
      <c r="B37" s="4" t="s">
        <v>10</v>
      </c>
      <c r="C37" s="4" t="s">
        <v>17</v>
      </c>
      <c r="D37" s="4" t="s">
        <v>12</v>
      </c>
      <c r="E37" s="5">
        <v>46275</v>
      </c>
      <c r="F37" s="5">
        <v>35936</v>
      </c>
      <c r="G37" s="6">
        <v>2.5499999999999998E-2</v>
      </c>
      <c r="H37" s="6">
        <v>7.9100000000000004E-2</v>
      </c>
      <c r="I37" s="6">
        <v>0.1045</v>
      </c>
    </row>
    <row r="38" spans="1:9" x14ac:dyDescent="0.2">
      <c r="A38" s="4" t="s">
        <v>26</v>
      </c>
      <c r="B38" s="4" t="s">
        <v>10</v>
      </c>
      <c r="C38" s="4" t="s">
        <v>18</v>
      </c>
      <c r="D38" s="4" t="s">
        <v>12</v>
      </c>
      <c r="E38" s="5">
        <v>46275</v>
      </c>
      <c r="F38" s="5">
        <v>34408</v>
      </c>
      <c r="G38" s="6">
        <v>2.5499999999999998E-2</v>
      </c>
      <c r="H38" s="6">
        <v>7.5700000000000003E-2</v>
      </c>
      <c r="I38" s="6">
        <v>0.1011</v>
      </c>
    </row>
    <row r="39" spans="1:9" x14ac:dyDescent="0.2">
      <c r="A39" s="4" t="s">
        <v>26</v>
      </c>
      <c r="B39" s="4" t="s">
        <v>10</v>
      </c>
      <c r="C39" s="4" t="s">
        <v>19</v>
      </c>
      <c r="D39" s="4" t="s">
        <v>12</v>
      </c>
      <c r="E39" s="5">
        <v>46275</v>
      </c>
      <c r="F39" s="5">
        <v>35741</v>
      </c>
      <c r="G39" s="6">
        <v>2.5499999999999998E-2</v>
      </c>
      <c r="H39" s="6">
        <v>7.8600000000000003E-2</v>
      </c>
      <c r="I39" s="6">
        <v>0.1041</v>
      </c>
    </row>
    <row r="40" spans="1:9" x14ac:dyDescent="0.2">
      <c r="A40" s="4" t="s">
        <v>26</v>
      </c>
      <c r="B40" s="4" t="s">
        <v>10</v>
      </c>
      <c r="C40" s="4" t="s">
        <v>20</v>
      </c>
      <c r="D40" s="4" t="s">
        <v>12</v>
      </c>
      <c r="E40" s="5">
        <v>46275</v>
      </c>
      <c r="F40" s="5">
        <v>33576</v>
      </c>
      <c r="G40" s="6">
        <v>2.5499999999999998E-2</v>
      </c>
      <c r="H40" s="6">
        <v>7.3899999999999993E-2</v>
      </c>
      <c r="I40" s="6">
        <v>9.9299999999999999E-2</v>
      </c>
    </row>
    <row r="41" spans="1:9" x14ac:dyDescent="0.2">
      <c r="A41" s="4" t="s">
        <v>26</v>
      </c>
      <c r="B41" s="4" t="s">
        <v>10</v>
      </c>
      <c r="C41" s="4" t="s">
        <v>21</v>
      </c>
      <c r="D41" s="4" t="s">
        <v>12</v>
      </c>
      <c r="E41" s="5">
        <v>46275</v>
      </c>
      <c r="F41" s="5">
        <v>33112</v>
      </c>
      <c r="G41" s="6">
        <v>2.5499999999999998E-2</v>
      </c>
      <c r="H41" s="6">
        <v>7.2800000000000004E-2</v>
      </c>
      <c r="I41" s="6">
        <v>9.8299999999999998E-2</v>
      </c>
    </row>
    <row r="42" spans="1:9" x14ac:dyDescent="0.2">
      <c r="A42" s="4" t="s">
        <v>26</v>
      </c>
      <c r="B42" s="4" t="s">
        <v>10</v>
      </c>
      <c r="C42" s="4" t="s">
        <v>22</v>
      </c>
      <c r="D42" s="4" t="s">
        <v>12</v>
      </c>
      <c r="E42" s="5">
        <v>46275</v>
      </c>
      <c r="F42" s="5">
        <v>35111</v>
      </c>
      <c r="G42" s="6">
        <v>2.5499999999999998E-2</v>
      </c>
      <c r="H42" s="6">
        <v>7.7200000000000005E-2</v>
      </c>
      <c r="I42" s="6">
        <v>0.1027</v>
      </c>
    </row>
    <row r="43" spans="1:9" x14ac:dyDescent="0.2">
      <c r="A43" s="4" t="s">
        <v>26</v>
      </c>
      <c r="B43" s="4" t="s">
        <v>10</v>
      </c>
      <c r="C43" s="4" t="s">
        <v>23</v>
      </c>
      <c r="D43" s="4" t="s">
        <v>12</v>
      </c>
      <c r="E43" s="5">
        <v>46275</v>
      </c>
      <c r="F43" s="5">
        <v>35014</v>
      </c>
      <c r="G43" s="6">
        <v>2.5499999999999998E-2</v>
      </c>
      <c r="H43" s="6">
        <v>7.6999999999999999E-2</v>
      </c>
      <c r="I43" s="6">
        <v>0.10249999999999999</v>
      </c>
    </row>
    <row r="44" spans="1:9" x14ac:dyDescent="0.2">
      <c r="A44" s="4" t="s">
        <v>26</v>
      </c>
      <c r="B44" s="4" t="s">
        <v>10</v>
      </c>
      <c r="C44" s="4" t="s">
        <v>24</v>
      </c>
      <c r="D44" s="4" t="s">
        <v>12</v>
      </c>
      <c r="E44" s="5">
        <v>46275</v>
      </c>
      <c r="F44" s="5">
        <v>35535</v>
      </c>
      <c r="G44" s="6">
        <v>2.5499999999999998E-2</v>
      </c>
      <c r="H44" s="6">
        <v>7.8200000000000006E-2</v>
      </c>
      <c r="I44" s="6">
        <v>0.1036</v>
      </c>
    </row>
    <row r="45" spans="1:9" x14ac:dyDescent="0.2">
      <c r="A45" s="4" t="s">
        <v>26</v>
      </c>
      <c r="B45" s="4" t="s">
        <v>10</v>
      </c>
      <c r="C45" s="4" t="s">
        <v>25</v>
      </c>
      <c r="D45" s="4" t="s">
        <v>12</v>
      </c>
      <c r="E45" s="5">
        <v>46275</v>
      </c>
      <c r="F45" s="5">
        <v>35745</v>
      </c>
      <c r="G45" s="6">
        <v>2.5499999999999998E-2</v>
      </c>
      <c r="H45" s="6">
        <v>7.8600000000000003E-2</v>
      </c>
      <c r="I45" s="6">
        <v>0.1041</v>
      </c>
    </row>
    <row r="46" spans="1:9" x14ac:dyDescent="0.2">
      <c r="A46" s="4" t="s">
        <v>26</v>
      </c>
      <c r="B46" s="4" t="s">
        <v>10</v>
      </c>
      <c r="C46" s="4"/>
      <c r="D46" s="4" t="s">
        <v>12</v>
      </c>
      <c r="E46" s="5">
        <v>46275</v>
      </c>
      <c r="F46" s="5">
        <v>36318</v>
      </c>
      <c r="G46" s="6">
        <v>2.5499999999999998E-2</v>
      </c>
      <c r="H46" s="6">
        <v>7.9899999999999999E-2</v>
      </c>
      <c r="I46" s="6">
        <v>0.10539999999999999</v>
      </c>
    </row>
    <row r="47" spans="1:9" x14ac:dyDescent="0.2">
      <c r="A47" s="7" t="s">
        <v>28</v>
      </c>
      <c r="B47" s="7"/>
      <c r="C47" s="7"/>
      <c r="D47" s="7"/>
      <c r="E47" s="8">
        <f>MEDIAN(E25:E46)</f>
        <v>46275</v>
      </c>
      <c r="F47" s="8">
        <f t="shared" ref="F47:H47" si="1">MEDIAN(F25:F46)</f>
        <v>36127</v>
      </c>
      <c r="G47" s="9">
        <f t="shared" si="1"/>
        <v>7.5499999999999994E-3</v>
      </c>
      <c r="H47" s="9">
        <f t="shared" si="1"/>
        <v>4.6600000000000003E-2</v>
      </c>
      <c r="I47" s="9">
        <f>MEDIAN(I25:I46)</f>
        <v>5.2349999999999994E-2</v>
      </c>
    </row>
    <row r="48" spans="1:9" x14ac:dyDescent="0.2">
      <c r="A48" s="4" t="s">
        <v>9</v>
      </c>
      <c r="B48" s="4" t="s">
        <v>10</v>
      </c>
      <c r="C48" s="4"/>
      <c r="D48" s="4" t="s">
        <v>13</v>
      </c>
      <c r="E48" s="5">
        <v>22878</v>
      </c>
      <c r="F48" s="5">
        <v>6638</v>
      </c>
      <c r="G48" s="6">
        <v>4.5999999999999999E-3</v>
      </c>
      <c r="H48" s="6">
        <v>5.3E-3</v>
      </c>
      <c r="I48" s="6">
        <v>9.9000000000000008E-3</v>
      </c>
    </row>
    <row r="49" spans="1:9" x14ac:dyDescent="0.2">
      <c r="A49" s="4" t="s">
        <v>15</v>
      </c>
      <c r="B49" s="4" t="s">
        <v>10</v>
      </c>
      <c r="C49" s="4"/>
      <c r="D49" s="4" t="s">
        <v>13</v>
      </c>
      <c r="E49" s="5">
        <v>22878</v>
      </c>
      <c r="F49" s="5">
        <v>6886</v>
      </c>
      <c r="G49" s="6">
        <v>1.6999999999999999E-3</v>
      </c>
      <c r="H49" s="6">
        <v>2.0999999999999999E-3</v>
      </c>
      <c r="I49" s="6">
        <v>3.8E-3</v>
      </c>
    </row>
    <row r="50" spans="1:9" x14ac:dyDescent="0.2">
      <c r="A50" s="4" t="s">
        <v>16</v>
      </c>
      <c r="B50" s="4" t="s">
        <v>10</v>
      </c>
      <c r="C50" s="4" t="s">
        <v>17</v>
      </c>
      <c r="D50" s="4" t="s">
        <v>13</v>
      </c>
      <c r="E50" s="5">
        <v>22780</v>
      </c>
      <c r="F50" s="5">
        <v>21577</v>
      </c>
      <c r="G50" s="6">
        <v>2.8E-3</v>
      </c>
      <c r="H50" s="6">
        <v>2.1600000000000001E-2</v>
      </c>
      <c r="I50" s="6">
        <v>2.4400000000000002E-2</v>
      </c>
    </row>
    <row r="51" spans="1:9" x14ac:dyDescent="0.2">
      <c r="A51" s="4" t="s">
        <v>16</v>
      </c>
      <c r="B51" s="4" t="s">
        <v>10</v>
      </c>
      <c r="C51" s="4" t="s">
        <v>18</v>
      </c>
      <c r="D51" s="4" t="s">
        <v>13</v>
      </c>
      <c r="E51" s="5">
        <v>22780</v>
      </c>
      <c r="F51" s="5">
        <v>21043</v>
      </c>
      <c r="G51" s="6">
        <v>2.8E-3</v>
      </c>
      <c r="H51" s="6">
        <v>2.1000000000000001E-2</v>
      </c>
      <c r="I51" s="6">
        <v>2.3900000000000001E-2</v>
      </c>
    </row>
    <row r="52" spans="1:9" x14ac:dyDescent="0.2">
      <c r="A52" s="4" t="s">
        <v>16</v>
      </c>
      <c r="B52" s="4" t="s">
        <v>10</v>
      </c>
      <c r="C52" s="4" t="s">
        <v>19</v>
      </c>
      <c r="D52" s="4" t="s">
        <v>13</v>
      </c>
      <c r="E52" s="5">
        <v>22780</v>
      </c>
      <c r="F52" s="5">
        <v>21662</v>
      </c>
      <c r="G52" s="6">
        <v>2.8E-3</v>
      </c>
      <c r="H52" s="6">
        <v>2.1700000000000001E-2</v>
      </c>
      <c r="I52" s="6">
        <v>2.4500000000000001E-2</v>
      </c>
    </row>
    <row r="53" spans="1:9" x14ac:dyDescent="0.2">
      <c r="A53" s="4" t="s">
        <v>16</v>
      </c>
      <c r="B53" s="4" t="s">
        <v>10</v>
      </c>
      <c r="C53" s="4" t="s">
        <v>20</v>
      </c>
      <c r="D53" s="4" t="s">
        <v>13</v>
      </c>
      <c r="E53" s="5">
        <v>22780</v>
      </c>
      <c r="F53" s="5">
        <v>21428</v>
      </c>
      <c r="G53" s="6">
        <v>2.8E-3</v>
      </c>
      <c r="H53" s="6">
        <v>2.1399999999999999E-2</v>
      </c>
      <c r="I53" s="6">
        <v>2.4299999999999999E-2</v>
      </c>
    </row>
    <row r="54" spans="1:9" x14ac:dyDescent="0.2">
      <c r="A54" s="4" t="s">
        <v>16</v>
      </c>
      <c r="B54" s="4" t="s">
        <v>10</v>
      </c>
      <c r="C54" s="4" t="s">
        <v>21</v>
      </c>
      <c r="D54" s="4" t="s">
        <v>13</v>
      </c>
      <c r="E54" s="5">
        <v>22780</v>
      </c>
      <c r="F54" s="5">
        <v>21959</v>
      </c>
      <c r="G54" s="6">
        <v>2.8E-3</v>
      </c>
      <c r="H54" s="6">
        <v>2.1999999999999999E-2</v>
      </c>
      <c r="I54" s="6">
        <v>2.4799999999999999E-2</v>
      </c>
    </row>
    <row r="55" spans="1:9" x14ac:dyDescent="0.2">
      <c r="A55" s="4" t="s">
        <v>16</v>
      </c>
      <c r="B55" s="4" t="s">
        <v>10</v>
      </c>
      <c r="C55" s="4" t="s">
        <v>22</v>
      </c>
      <c r="D55" s="4" t="s">
        <v>13</v>
      </c>
      <c r="E55" s="5">
        <v>22780</v>
      </c>
      <c r="F55" s="5">
        <v>22222</v>
      </c>
      <c r="G55" s="6">
        <v>2.8E-3</v>
      </c>
      <c r="H55" s="6">
        <v>2.2200000000000001E-2</v>
      </c>
      <c r="I55" s="6">
        <v>2.5100000000000001E-2</v>
      </c>
    </row>
    <row r="56" spans="1:9" x14ac:dyDescent="0.2">
      <c r="A56" s="4" t="s">
        <v>16</v>
      </c>
      <c r="B56" s="4" t="s">
        <v>10</v>
      </c>
      <c r="C56" s="4" t="s">
        <v>23</v>
      </c>
      <c r="D56" s="4" t="s">
        <v>13</v>
      </c>
      <c r="E56" s="5">
        <v>22780</v>
      </c>
      <c r="F56" s="5">
        <v>21249</v>
      </c>
      <c r="G56" s="6">
        <v>2.8E-3</v>
      </c>
      <c r="H56" s="6">
        <v>2.12E-2</v>
      </c>
      <c r="I56" s="6">
        <v>2.41E-2</v>
      </c>
    </row>
    <row r="57" spans="1:9" x14ac:dyDescent="0.2">
      <c r="A57" s="4" t="s">
        <v>16</v>
      </c>
      <c r="B57" s="4" t="s">
        <v>10</v>
      </c>
      <c r="C57" s="4" t="s">
        <v>24</v>
      </c>
      <c r="D57" s="4" t="s">
        <v>13</v>
      </c>
      <c r="E57" s="5">
        <v>22780</v>
      </c>
      <c r="F57" s="5">
        <v>21982</v>
      </c>
      <c r="G57" s="6">
        <v>2.8E-3</v>
      </c>
      <c r="H57" s="6">
        <v>2.1999999999999999E-2</v>
      </c>
      <c r="I57" s="6">
        <v>2.4799999999999999E-2</v>
      </c>
    </row>
    <row r="58" spans="1:9" x14ac:dyDescent="0.2">
      <c r="A58" s="4" t="s">
        <v>16</v>
      </c>
      <c r="B58" s="4" t="s">
        <v>10</v>
      </c>
      <c r="C58" s="4" t="s">
        <v>25</v>
      </c>
      <c r="D58" s="4" t="s">
        <v>13</v>
      </c>
      <c r="E58" s="5">
        <v>22780</v>
      </c>
      <c r="F58" s="5">
        <v>22022</v>
      </c>
      <c r="G58" s="6">
        <v>2.8E-3</v>
      </c>
      <c r="H58" s="6">
        <v>2.1999999999999999E-2</v>
      </c>
      <c r="I58" s="6">
        <v>2.4899999999999999E-2</v>
      </c>
    </row>
    <row r="59" spans="1:9" x14ac:dyDescent="0.2">
      <c r="A59" s="4" t="s">
        <v>16</v>
      </c>
      <c r="B59" s="4" t="s">
        <v>10</v>
      </c>
      <c r="C59" s="4"/>
      <c r="D59" s="4" t="s">
        <v>13</v>
      </c>
      <c r="E59" s="5">
        <v>22780</v>
      </c>
      <c r="F59" s="5">
        <v>22378</v>
      </c>
      <c r="G59" s="6">
        <v>2.8E-3</v>
      </c>
      <c r="H59" s="6">
        <v>2.24E-2</v>
      </c>
      <c r="I59" s="6">
        <v>2.52E-2</v>
      </c>
    </row>
    <row r="60" spans="1:9" x14ac:dyDescent="0.2">
      <c r="A60" s="4" t="s">
        <v>26</v>
      </c>
      <c r="B60" s="4" t="s">
        <v>10</v>
      </c>
      <c r="C60" s="4" t="s">
        <v>17</v>
      </c>
      <c r="D60" s="4" t="s">
        <v>13</v>
      </c>
      <c r="E60" s="5">
        <v>22780</v>
      </c>
      <c r="F60" s="5">
        <v>13930</v>
      </c>
      <c r="G60" s="6">
        <v>1.2500000000000001E-2</v>
      </c>
      <c r="H60" s="6">
        <v>3.0599999999999999E-2</v>
      </c>
      <c r="I60" s="6">
        <v>4.3200000000000002E-2</v>
      </c>
    </row>
    <row r="61" spans="1:9" x14ac:dyDescent="0.2">
      <c r="A61" s="4" t="s">
        <v>26</v>
      </c>
      <c r="B61" s="4" t="s">
        <v>10</v>
      </c>
      <c r="C61" s="4" t="s">
        <v>18</v>
      </c>
      <c r="D61" s="4" t="s">
        <v>13</v>
      </c>
      <c r="E61" s="5">
        <v>22780</v>
      </c>
      <c r="F61" s="5">
        <v>16169</v>
      </c>
      <c r="G61" s="6">
        <v>1.2500000000000001E-2</v>
      </c>
      <c r="H61" s="6">
        <v>3.56E-2</v>
      </c>
      <c r="I61" s="6">
        <v>4.8099999999999997E-2</v>
      </c>
    </row>
    <row r="62" spans="1:9" x14ac:dyDescent="0.2">
      <c r="A62" s="4" t="s">
        <v>26</v>
      </c>
      <c r="B62" s="4" t="s">
        <v>10</v>
      </c>
      <c r="C62" s="4" t="s">
        <v>19</v>
      </c>
      <c r="D62" s="4" t="s">
        <v>13</v>
      </c>
      <c r="E62" s="5">
        <v>22780</v>
      </c>
      <c r="F62" s="5">
        <v>15404</v>
      </c>
      <c r="G62" s="6">
        <v>1.2500000000000001E-2</v>
      </c>
      <c r="H62" s="6">
        <v>3.39E-2</v>
      </c>
      <c r="I62" s="6">
        <v>4.6399999999999997E-2</v>
      </c>
    </row>
    <row r="63" spans="1:9" x14ac:dyDescent="0.2">
      <c r="A63" s="4" t="s">
        <v>26</v>
      </c>
      <c r="B63" s="4" t="s">
        <v>10</v>
      </c>
      <c r="C63" s="4" t="s">
        <v>20</v>
      </c>
      <c r="D63" s="4" t="s">
        <v>13</v>
      </c>
      <c r="E63" s="5">
        <v>22780</v>
      </c>
      <c r="F63" s="5">
        <v>16253</v>
      </c>
      <c r="G63" s="6">
        <v>1.2500000000000001E-2</v>
      </c>
      <c r="H63" s="6">
        <v>3.5799999999999998E-2</v>
      </c>
      <c r="I63" s="6">
        <v>4.8300000000000003E-2</v>
      </c>
    </row>
    <row r="64" spans="1:9" x14ac:dyDescent="0.2">
      <c r="A64" s="4" t="s">
        <v>26</v>
      </c>
      <c r="B64" s="4" t="s">
        <v>10</v>
      </c>
      <c r="C64" s="4" t="s">
        <v>21</v>
      </c>
      <c r="D64" s="4" t="s">
        <v>13</v>
      </c>
      <c r="E64" s="5">
        <v>22780</v>
      </c>
      <c r="F64" s="5">
        <v>16259</v>
      </c>
      <c r="G64" s="6">
        <v>1.2500000000000001E-2</v>
      </c>
      <c r="H64" s="6">
        <v>3.5799999999999998E-2</v>
      </c>
      <c r="I64" s="6">
        <v>4.8300000000000003E-2</v>
      </c>
    </row>
    <row r="65" spans="1:9" x14ac:dyDescent="0.2">
      <c r="A65" s="4" t="s">
        <v>26</v>
      </c>
      <c r="B65" s="4" t="s">
        <v>10</v>
      </c>
      <c r="C65" s="4" t="s">
        <v>22</v>
      </c>
      <c r="D65" s="4" t="s">
        <v>13</v>
      </c>
      <c r="E65" s="5">
        <v>22780</v>
      </c>
      <c r="F65" s="5">
        <v>17995</v>
      </c>
      <c r="G65" s="6">
        <v>1.2500000000000001E-2</v>
      </c>
      <c r="H65" s="6">
        <v>3.9600000000000003E-2</v>
      </c>
      <c r="I65" s="6">
        <v>5.21E-2</v>
      </c>
    </row>
    <row r="66" spans="1:9" x14ac:dyDescent="0.2">
      <c r="A66" s="4" t="s">
        <v>26</v>
      </c>
      <c r="B66" s="4" t="s">
        <v>10</v>
      </c>
      <c r="C66" s="4" t="s">
        <v>23</v>
      </c>
      <c r="D66" s="4" t="s">
        <v>13</v>
      </c>
      <c r="E66" s="5">
        <v>22780</v>
      </c>
      <c r="F66" s="5">
        <v>15209</v>
      </c>
      <c r="G66" s="6">
        <v>1.2500000000000001E-2</v>
      </c>
      <c r="H66" s="6">
        <v>3.3500000000000002E-2</v>
      </c>
      <c r="I66" s="6">
        <v>4.5999999999999999E-2</v>
      </c>
    </row>
    <row r="67" spans="1:9" x14ac:dyDescent="0.2">
      <c r="A67" s="4" t="s">
        <v>26</v>
      </c>
      <c r="B67" s="4" t="s">
        <v>10</v>
      </c>
      <c r="C67" s="4" t="s">
        <v>24</v>
      </c>
      <c r="D67" s="4" t="s">
        <v>13</v>
      </c>
      <c r="E67" s="5">
        <v>22780</v>
      </c>
      <c r="F67" s="5">
        <v>17198</v>
      </c>
      <c r="G67" s="6">
        <v>1.2500000000000001E-2</v>
      </c>
      <c r="H67" s="6">
        <v>3.78E-2</v>
      </c>
      <c r="I67" s="6">
        <v>5.04E-2</v>
      </c>
    </row>
    <row r="68" spans="1:9" x14ac:dyDescent="0.2">
      <c r="A68" s="4" t="s">
        <v>26</v>
      </c>
      <c r="B68" s="4" t="s">
        <v>10</v>
      </c>
      <c r="C68" s="4" t="s">
        <v>25</v>
      </c>
      <c r="D68" s="4" t="s">
        <v>13</v>
      </c>
      <c r="E68" s="5">
        <v>22780</v>
      </c>
      <c r="F68" s="5">
        <v>16022</v>
      </c>
      <c r="G68" s="6">
        <v>1.2500000000000001E-2</v>
      </c>
      <c r="H68" s="6">
        <v>3.5200000000000002E-2</v>
      </c>
      <c r="I68" s="6">
        <v>4.7800000000000002E-2</v>
      </c>
    </row>
    <row r="69" spans="1:9" x14ac:dyDescent="0.2">
      <c r="A69" s="4" t="s">
        <v>26</v>
      </c>
      <c r="B69" s="4" t="s">
        <v>10</v>
      </c>
      <c r="C69" s="4"/>
      <c r="D69" s="4" t="s">
        <v>13</v>
      </c>
      <c r="E69" s="5">
        <v>22780</v>
      </c>
      <c r="F69" s="5">
        <v>15920</v>
      </c>
      <c r="G69" s="6">
        <v>1.2500000000000001E-2</v>
      </c>
      <c r="H69" s="6">
        <v>3.5000000000000003E-2</v>
      </c>
      <c r="I69" s="6">
        <v>4.7600000000000003E-2</v>
      </c>
    </row>
    <row r="70" spans="1:9" x14ac:dyDescent="0.2">
      <c r="A70" s="7" t="s">
        <v>28</v>
      </c>
      <c r="B70" s="7"/>
      <c r="C70" s="7"/>
      <c r="D70" s="7"/>
      <c r="E70" s="8">
        <f>MEDIAN(E48:E69)</f>
        <v>22780</v>
      </c>
      <c r="F70" s="8">
        <f t="shared" ref="F70" si="2">MEDIAN(F48:F69)</f>
        <v>17596.5</v>
      </c>
      <c r="G70" s="9">
        <f t="shared" ref="G70" si="3">MEDIAN(G48:G69)</f>
        <v>3.7000000000000002E-3</v>
      </c>
      <c r="H70" s="9">
        <f t="shared" ref="H70" si="4">MEDIAN(H48:H69)</f>
        <v>2.23E-2</v>
      </c>
      <c r="I70" s="9">
        <f>MEDIAN(I48:I69)</f>
        <v>2.5149999999999999E-2</v>
      </c>
    </row>
    <row r="71" spans="1:9" x14ac:dyDescent="0.2">
      <c r="A71" s="4" t="s">
        <v>9</v>
      </c>
      <c r="B71" s="4" t="s">
        <v>10</v>
      </c>
      <c r="C71" s="4"/>
      <c r="D71" s="4" t="s">
        <v>14</v>
      </c>
      <c r="E71" s="5">
        <v>88734</v>
      </c>
      <c r="F71" s="5">
        <v>26001</v>
      </c>
      <c r="G71" s="6">
        <v>1.77E-2</v>
      </c>
      <c r="H71" s="6">
        <v>2.0799999999999999E-2</v>
      </c>
      <c r="I71" s="6">
        <v>3.85E-2</v>
      </c>
    </row>
    <row r="72" spans="1:9" x14ac:dyDescent="0.2">
      <c r="A72" s="4" t="s">
        <v>15</v>
      </c>
      <c r="B72" s="4" t="s">
        <v>10</v>
      </c>
      <c r="C72" s="4"/>
      <c r="D72" s="4" t="s">
        <v>14</v>
      </c>
      <c r="E72" s="5">
        <v>88734</v>
      </c>
      <c r="F72" s="5">
        <v>26379</v>
      </c>
      <c r="G72" s="6">
        <v>6.7000000000000002E-3</v>
      </c>
      <c r="H72" s="6">
        <v>7.9000000000000008E-3</v>
      </c>
      <c r="I72" s="6">
        <v>1.46E-2</v>
      </c>
    </row>
    <row r="73" spans="1:9" x14ac:dyDescent="0.2">
      <c r="A73" s="4" t="s">
        <v>16</v>
      </c>
      <c r="B73" s="4" t="s">
        <v>10</v>
      </c>
      <c r="C73" s="4" t="s">
        <v>17</v>
      </c>
      <c r="D73" s="4" t="s">
        <v>14</v>
      </c>
      <c r="E73" s="5">
        <v>88291</v>
      </c>
      <c r="F73" s="5">
        <v>85136</v>
      </c>
      <c r="G73" s="6">
        <v>1.0999999999999999E-2</v>
      </c>
      <c r="H73" s="6">
        <v>8.5099999999999995E-2</v>
      </c>
      <c r="I73" s="6">
        <v>9.6199999999999994E-2</v>
      </c>
    </row>
    <row r="74" spans="1:9" x14ac:dyDescent="0.2">
      <c r="A74" s="4" t="s">
        <v>16</v>
      </c>
      <c r="B74" s="4" t="s">
        <v>10</v>
      </c>
      <c r="C74" s="4" t="s">
        <v>18</v>
      </c>
      <c r="D74" s="4" t="s">
        <v>14</v>
      </c>
      <c r="E74" s="5">
        <v>88291</v>
      </c>
      <c r="F74" s="5">
        <v>84780</v>
      </c>
      <c r="G74" s="6">
        <v>1.0999999999999999E-2</v>
      </c>
      <c r="H74" s="6">
        <v>8.48E-2</v>
      </c>
      <c r="I74" s="6">
        <v>9.5799999999999996E-2</v>
      </c>
    </row>
    <row r="75" spans="1:9" x14ac:dyDescent="0.2">
      <c r="A75" s="4" t="s">
        <v>16</v>
      </c>
      <c r="B75" s="4" t="s">
        <v>10</v>
      </c>
      <c r="C75" s="4" t="s">
        <v>19</v>
      </c>
      <c r="D75" s="4" t="s">
        <v>14</v>
      </c>
      <c r="E75" s="5">
        <v>88291</v>
      </c>
      <c r="F75" s="5">
        <v>85345</v>
      </c>
      <c r="G75" s="6">
        <v>1.0999999999999999E-2</v>
      </c>
      <c r="H75" s="6">
        <v>8.5300000000000001E-2</v>
      </c>
      <c r="I75" s="6">
        <v>9.64E-2</v>
      </c>
    </row>
    <row r="76" spans="1:9" x14ac:dyDescent="0.2">
      <c r="A76" s="4" t="s">
        <v>16</v>
      </c>
      <c r="B76" s="4" t="s">
        <v>10</v>
      </c>
      <c r="C76" s="4" t="s">
        <v>20</v>
      </c>
      <c r="D76" s="4" t="s">
        <v>14</v>
      </c>
      <c r="E76" s="5">
        <v>88291</v>
      </c>
      <c r="F76" s="5">
        <v>87348</v>
      </c>
      <c r="G76" s="6">
        <v>1.0999999999999999E-2</v>
      </c>
      <c r="H76" s="6">
        <v>8.7300000000000003E-2</v>
      </c>
      <c r="I76" s="6">
        <v>9.8400000000000001E-2</v>
      </c>
    </row>
    <row r="77" spans="1:9" x14ac:dyDescent="0.2">
      <c r="A77" s="4" t="s">
        <v>16</v>
      </c>
      <c r="B77" s="4" t="s">
        <v>10</v>
      </c>
      <c r="C77" s="4" t="s">
        <v>21</v>
      </c>
      <c r="D77" s="4" t="s">
        <v>14</v>
      </c>
      <c r="E77" s="5">
        <v>88291</v>
      </c>
      <c r="F77" s="5">
        <v>86702</v>
      </c>
      <c r="G77" s="6">
        <v>1.0999999999999999E-2</v>
      </c>
      <c r="H77" s="6">
        <v>8.6699999999999999E-2</v>
      </c>
      <c r="I77" s="6">
        <v>9.7699999999999995E-2</v>
      </c>
    </row>
    <row r="78" spans="1:9" x14ac:dyDescent="0.2">
      <c r="A78" s="4" t="s">
        <v>16</v>
      </c>
      <c r="B78" s="4" t="s">
        <v>10</v>
      </c>
      <c r="C78" s="4" t="s">
        <v>22</v>
      </c>
      <c r="D78" s="4" t="s">
        <v>14</v>
      </c>
      <c r="E78" s="5">
        <v>88291</v>
      </c>
      <c r="F78" s="5">
        <v>86844</v>
      </c>
      <c r="G78" s="6">
        <v>1.0999999999999999E-2</v>
      </c>
      <c r="H78" s="6">
        <v>8.6800000000000002E-2</v>
      </c>
      <c r="I78" s="6">
        <v>9.7900000000000001E-2</v>
      </c>
    </row>
    <row r="79" spans="1:9" x14ac:dyDescent="0.2">
      <c r="A79" s="4" t="s">
        <v>16</v>
      </c>
      <c r="B79" s="4" t="s">
        <v>10</v>
      </c>
      <c r="C79" s="4" t="s">
        <v>23</v>
      </c>
      <c r="D79" s="4" t="s">
        <v>14</v>
      </c>
      <c r="E79" s="5">
        <v>88291</v>
      </c>
      <c r="F79" s="5">
        <v>83872</v>
      </c>
      <c r="G79" s="6">
        <v>1.0999999999999999E-2</v>
      </c>
      <c r="H79" s="6">
        <v>8.3900000000000002E-2</v>
      </c>
      <c r="I79" s="6">
        <v>9.4899999999999998E-2</v>
      </c>
    </row>
    <row r="80" spans="1:9" x14ac:dyDescent="0.2">
      <c r="A80" s="4" t="s">
        <v>16</v>
      </c>
      <c r="B80" s="4" t="s">
        <v>10</v>
      </c>
      <c r="C80" s="4" t="s">
        <v>24</v>
      </c>
      <c r="D80" s="4" t="s">
        <v>14</v>
      </c>
      <c r="E80" s="5">
        <v>88291</v>
      </c>
      <c r="F80" s="5">
        <v>87446</v>
      </c>
      <c r="G80" s="6">
        <v>1.0999999999999999E-2</v>
      </c>
      <c r="H80" s="6">
        <v>8.7400000000000005E-2</v>
      </c>
      <c r="I80" s="6">
        <v>9.8500000000000004E-2</v>
      </c>
    </row>
    <row r="81" spans="1:9" x14ac:dyDescent="0.2">
      <c r="A81" s="4" t="s">
        <v>16</v>
      </c>
      <c r="B81" s="4" t="s">
        <v>10</v>
      </c>
      <c r="C81" s="4" t="s">
        <v>25</v>
      </c>
      <c r="D81" s="4" t="s">
        <v>14</v>
      </c>
      <c r="E81" s="5">
        <v>88291</v>
      </c>
      <c r="F81" s="5">
        <v>84791</v>
      </c>
      <c r="G81" s="6">
        <v>1.0999999999999999E-2</v>
      </c>
      <c r="H81" s="6">
        <v>8.48E-2</v>
      </c>
      <c r="I81" s="6">
        <v>9.5799999999999996E-2</v>
      </c>
    </row>
    <row r="82" spans="1:9" x14ac:dyDescent="0.2">
      <c r="A82" s="4" t="s">
        <v>16</v>
      </c>
      <c r="B82" s="4" t="s">
        <v>10</v>
      </c>
      <c r="C82" s="4"/>
      <c r="D82" s="4" t="s">
        <v>14</v>
      </c>
      <c r="E82" s="5">
        <v>88291</v>
      </c>
      <c r="F82" s="5">
        <v>85488</v>
      </c>
      <c r="G82" s="6">
        <v>1.0999999999999999E-2</v>
      </c>
      <c r="H82" s="6">
        <v>8.5500000000000007E-2</v>
      </c>
      <c r="I82" s="6">
        <v>9.6500000000000002E-2</v>
      </c>
    </row>
    <row r="83" spans="1:9" x14ac:dyDescent="0.2">
      <c r="A83" s="4" t="s">
        <v>26</v>
      </c>
      <c r="B83" s="4" t="s">
        <v>10</v>
      </c>
      <c r="C83" s="4" t="s">
        <v>17</v>
      </c>
      <c r="D83" s="4" t="s">
        <v>14</v>
      </c>
      <c r="E83" s="5">
        <v>88291</v>
      </c>
      <c r="F83" s="5">
        <v>63357</v>
      </c>
      <c r="G83" s="6">
        <v>4.8599999999999997E-2</v>
      </c>
      <c r="H83" s="6">
        <v>0.1394</v>
      </c>
      <c r="I83" s="6">
        <v>0.18790000000000001</v>
      </c>
    </row>
    <row r="84" spans="1:9" x14ac:dyDescent="0.2">
      <c r="A84" s="4" t="s">
        <v>26</v>
      </c>
      <c r="B84" s="4" t="s">
        <v>10</v>
      </c>
      <c r="C84" s="4" t="s">
        <v>18</v>
      </c>
      <c r="D84" s="4" t="s">
        <v>14</v>
      </c>
      <c r="E84" s="5">
        <v>88291</v>
      </c>
      <c r="F84" s="5">
        <v>65076</v>
      </c>
      <c r="G84" s="6">
        <v>4.8599999999999997E-2</v>
      </c>
      <c r="H84" s="6">
        <v>0.14319999999999999</v>
      </c>
      <c r="I84" s="6">
        <v>0.19170000000000001</v>
      </c>
    </row>
    <row r="85" spans="1:9" x14ac:dyDescent="0.2">
      <c r="A85" s="4" t="s">
        <v>26</v>
      </c>
      <c r="B85" s="4" t="s">
        <v>10</v>
      </c>
      <c r="C85" s="4" t="s">
        <v>19</v>
      </c>
      <c r="D85" s="4" t="s">
        <v>14</v>
      </c>
      <c r="E85" s="5">
        <v>88291</v>
      </c>
      <c r="F85" s="5">
        <v>66339</v>
      </c>
      <c r="G85" s="6">
        <v>4.8599999999999997E-2</v>
      </c>
      <c r="H85" s="6">
        <v>0.1459</v>
      </c>
      <c r="I85" s="6">
        <v>0.19450000000000001</v>
      </c>
    </row>
    <row r="86" spans="1:9" x14ac:dyDescent="0.2">
      <c r="A86" s="4" t="s">
        <v>26</v>
      </c>
      <c r="B86" s="4" t="s">
        <v>10</v>
      </c>
      <c r="C86" s="4" t="s">
        <v>20</v>
      </c>
      <c r="D86" s="4" t="s">
        <v>14</v>
      </c>
      <c r="E86" s="5">
        <v>88291</v>
      </c>
      <c r="F86" s="5">
        <v>64551</v>
      </c>
      <c r="G86" s="6">
        <v>4.8599999999999997E-2</v>
      </c>
      <c r="H86" s="6">
        <v>0.14199999999999999</v>
      </c>
      <c r="I86" s="6">
        <v>0.19059999999999999</v>
      </c>
    </row>
    <row r="87" spans="1:9" x14ac:dyDescent="0.2">
      <c r="A87" s="4" t="s">
        <v>26</v>
      </c>
      <c r="B87" s="4" t="s">
        <v>10</v>
      </c>
      <c r="C87" s="4" t="s">
        <v>21</v>
      </c>
      <c r="D87" s="4" t="s">
        <v>14</v>
      </c>
      <c r="E87" s="5">
        <v>88291</v>
      </c>
      <c r="F87" s="5">
        <v>64386</v>
      </c>
      <c r="G87" s="6">
        <v>4.8599999999999997E-2</v>
      </c>
      <c r="H87" s="6">
        <v>0.1416</v>
      </c>
      <c r="I87" s="6">
        <v>0.19020000000000001</v>
      </c>
    </row>
    <row r="88" spans="1:9" x14ac:dyDescent="0.2">
      <c r="A88" s="4" t="s">
        <v>26</v>
      </c>
      <c r="B88" s="4" t="s">
        <v>10</v>
      </c>
      <c r="C88" s="4" t="s">
        <v>22</v>
      </c>
      <c r="D88" s="4" t="s">
        <v>14</v>
      </c>
      <c r="E88" s="5">
        <v>88291</v>
      </c>
      <c r="F88" s="5">
        <v>67123</v>
      </c>
      <c r="G88" s="6">
        <v>4.8599999999999997E-2</v>
      </c>
      <c r="H88" s="6">
        <v>0.1477</v>
      </c>
      <c r="I88" s="6">
        <v>0.19620000000000001</v>
      </c>
    </row>
    <row r="89" spans="1:9" x14ac:dyDescent="0.2">
      <c r="A89" s="4" t="s">
        <v>26</v>
      </c>
      <c r="B89" s="4" t="s">
        <v>10</v>
      </c>
      <c r="C89" s="4" t="s">
        <v>23</v>
      </c>
      <c r="D89" s="4" t="s">
        <v>14</v>
      </c>
      <c r="E89" s="5">
        <v>88291</v>
      </c>
      <c r="F89" s="5">
        <v>64304</v>
      </c>
      <c r="G89" s="6">
        <v>4.8599999999999997E-2</v>
      </c>
      <c r="H89" s="6">
        <v>0.14149999999999999</v>
      </c>
      <c r="I89" s="6">
        <v>0.19</v>
      </c>
    </row>
    <row r="90" spans="1:9" x14ac:dyDescent="0.2">
      <c r="A90" s="4" t="s">
        <v>26</v>
      </c>
      <c r="B90" s="4" t="s">
        <v>10</v>
      </c>
      <c r="C90" s="4" t="s">
        <v>24</v>
      </c>
      <c r="D90" s="4" t="s">
        <v>14</v>
      </c>
      <c r="E90" s="5">
        <v>88291</v>
      </c>
      <c r="F90" s="5">
        <v>67202</v>
      </c>
      <c r="G90" s="6">
        <v>4.8599999999999997E-2</v>
      </c>
      <c r="H90" s="6">
        <v>0.14779999999999999</v>
      </c>
      <c r="I90" s="6">
        <v>0.19639999999999999</v>
      </c>
    </row>
    <row r="91" spans="1:9" x14ac:dyDescent="0.2">
      <c r="A91" s="4" t="s">
        <v>26</v>
      </c>
      <c r="B91" s="4" t="s">
        <v>10</v>
      </c>
      <c r="C91" s="4" t="s">
        <v>25</v>
      </c>
      <c r="D91" s="4" t="s">
        <v>14</v>
      </c>
      <c r="E91" s="5">
        <v>88291</v>
      </c>
      <c r="F91" s="5">
        <v>84228</v>
      </c>
      <c r="G91" s="6">
        <v>4.8599999999999997E-2</v>
      </c>
      <c r="H91" s="6">
        <v>0.18529999999999999</v>
      </c>
      <c r="I91" s="6">
        <v>0.2339</v>
      </c>
    </row>
    <row r="92" spans="1:9" x14ac:dyDescent="0.2">
      <c r="A92" s="4" t="s">
        <v>26</v>
      </c>
      <c r="B92" s="4" t="s">
        <v>10</v>
      </c>
      <c r="C92" s="4"/>
      <c r="D92" s="4" t="s">
        <v>14</v>
      </c>
      <c r="E92" s="5">
        <v>88291</v>
      </c>
      <c r="F92" s="5">
        <v>69130</v>
      </c>
      <c r="G92" s="6">
        <v>4.8599999999999997E-2</v>
      </c>
      <c r="H92" s="6">
        <v>0.15210000000000001</v>
      </c>
      <c r="I92" s="6">
        <v>0.2006</v>
      </c>
    </row>
    <row r="93" spans="1:9" x14ac:dyDescent="0.2">
      <c r="A93" s="10" t="s">
        <v>29</v>
      </c>
      <c r="B93" s="10"/>
      <c r="C93" s="10"/>
      <c r="D93" s="10"/>
      <c r="E93" s="11">
        <v>46275</v>
      </c>
      <c r="F93" s="11">
        <v>36127</v>
      </c>
      <c r="G93" s="12">
        <v>8.0000000000000002E-3</v>
      </c>
      <c r="H93" s="12">
        <v>4.7E-2</v>
      </c>
      <c r="I93" s="12">
        <v>5.1999999999999998E-2</v>
      </c>
    </row>
  </sheetData>
  <mergeCells count="4">
    <mergeCell ref="A24:D24"/>
    <mergeCell ref="A47:D47"/>
    <mergeCell ref="A70:D70"/>
    <mergeCell ref="A93:D9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DB611-CA59-7541-8F2A-54B86F113787}">
  <dimension ref="A1:I24"/>
  <sheetViews>
    <sheetView tabSelected="1" workbookViewId="0">
      <selection activeCell="I24" sqref="A1:I24"/>
    </sheetView>
  </sheetViews>
  <sheetFormatPr baseColWidth="10" defaultRowHeight="16" x14ac:dyDescent="0.2"/>
  <sheetData>
    <row r="1" spans="1:9" x14ac:dyDescent="0.2">
      <c r="A1" s="13" t="s">
        <v>0</v>
      </c>
      <c r="B1" s="14" t="s">
        <v>1</v>
      </c>
      <c r="C1" s="14" t="s">
        <v>2</v>
      </c>
      <c r="D1" s="14" t="s">
        <v>30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</row>
    <row r="2" spans="1:9" x14ac:dyDescent="0.2">
      <c r="A2" s="15" t="s">
        <v>9</v>
      </c>
      <c r="B2" s="16" t="s">
        <v>10</v>
      </c>
      <c r="C2" s="16"/>
      <c r="D2" s="16" t="s">
        <v>14</v>
      </c>
      <c r="E2" s="17">
        <v>88734</v>
      </c>
      <c r="F2" s="17">
        <v>26001</v>
      </c>
      <c r="G2" s="18">
        <v>1.7999999999999999E-2</v>
      </c>
      <c r="H2" s="18">
        <v>2.1000000000000001E-2</v>
      </c>
      <c r="I2" s="18">
        <v>3.9E-2</v>
      </c>
    </row>
    <row r="3" spans="1:9" x14ac:dyDescent="0.2">
      <c r="A3" s="15" t="s">
        <v>15</v>
      </c>
      <c r="B3" s="16" t="s">
        <v>10</v>
      </c>
      <c r="C3" s="16"/>
      <c r="D3" s="16" t="s">
        <v>14</v>
      </c>
      <c r="E3" s="17">
        <v>88734</v>
      </c>
      <c r="F3" s="17">
        <v>26379</v>
      </c>
      <c r="G3" s="18">
        <v>7.0000000000000001E-3</v>
      </c>
      <c r="H3" s="18">
        <v>8.0000000000000002E-3</v>
      </c>
      <c r="I3" s="18">
        <v>1.4999999999999999E-2</v>
      </c>
    </row>
    <row r="4" spans="1:9" x14ac:dyDescent="0.2">
      <c r="A4" s="15" t="s">
        <v>16</v>
      </c>
      <c r="B4" s="16" t="s">
        <v>10</v>
      </c>
      <c r="C4" s="16" t="s">
        <v>17</v>
      </c>
      <c r="D4" s="16" t="s">
        <v>14</v>
      </c>
      <c r="E4" s="17">
        <v>88291</v>
      </c>
      <c r="F4" s="17">
        <v>85136</v>
      </c>
      <c r="G4" s="18">
        <v>1.0999999999999999E-2</v>
      </c>
      <c r="H4" s="18">
        <v>8.5000000000000006E-2</v>
      </c>
      <c r="I4" s="18">
        <v>9.6000000000000002E-2</v>
      </c>
    </row>
    <row r="5" spans="1:9" x14ac:dyDescent="0.2">
      <c r="A5" s="15" t="s">
        <v>16</v>
      </c>
      <c r="B5" s="16" t="s">
        <v>10</v>
      </c>
      <c r="C5" s="16" t="s">
        <v>18</v>
      </c>
      <c r="D5" s="16" t="s">
        <v>14</v>
      </c>
      <c r="E5" s="17">
        <v>88291</v>
      </c>
      <c r="F5" s="17">
        <v>84780</v>
      </c>
      <c r="G5" s="18">
        <v>1.0999999999999999E-2</v>
      </c>
      <c r="H5" s="18">
        <v>8.5000000000000006E-2</v>
      </c>
      <c r="I5" s="18">
        <v>9.6000000000000002E-2</v>
      </c>
    </row>
    <row r="6" spans="1:9" x14ac:dyDescent="0.2">
      <c r="A6" s="15" t="s">
        <v>16</v>
      </c>
      <c r="B6" s="16" t="s">
        <v>10</v>
      </c>
      <c r="C6" s="16" t="s">
        <v>19</v>
      </c>
      <c r="D6" s="16" t="s">
        <v>14</v>
      </c>
      <c r="E6" s="17">
        <v>88291</v>
      </c>
      <c r="F6" s="17">
        <v>85345</v>
      </c>
      <c r="G6" s="18">
        <v>1.0999999999999999E-2</v>
      </c>
      <c r="H6" s="18">
        <v>8.5000000000000006E-2</v>
      </c>
      <c r="I6" s="18">
        <v>9.6000000000000002E-2</v>
      </c>
    </row>
    <row r="7" spans="1:9" x14ac:dyDescent="0.2">
      <c r="A7" s="15" t="s">
        <v>16</v>
      </c>
      <c r="B7" s="16" t="s">
        <v>10</v>
      </c>
      <c r="C7" s="16" t="s">
        <v>20</v>
      </c>
      <c r="D7" s="16" t="s">
        <v>14</v>
      </c>
      <c r="E7" s="17">
        <v>88291</v>
      </c>
      <c r="F7" s="17">
        <v>87348</v>
      </c>
      <c r="G7" s="18">
        <v>1.0999999999999999E-2</v>
      </c>
      <c r="H7" s="18">
        <v>8.6999999999999994E-2</v>
      </c>
      <c r="I7" s="18">
        <v>9.8000000000000004E-2</v>
      </c>
    </row>
    <row r="8" spans="1:9" x14ac:dyDescent="0.2">
      <c r="A8" s="15" t="s">
        <v>16</v>
      </c>
      <c r="B8" s="16" t="s">
        <v>10</v>
      </c>
      <c r="C8" s="16" t="s">
        <v>21</v>
      </c>
      <c r="D8" s="16" t="s">
        <v>14</v>
      </c>
      <c r="E8" s="17">
        <v>88291</v>
      </c>
      <c r="F8" s="17">
        <v>86702</v>
      </c>
      <c r="G8" s="18">
        <v>1.0999999999999999E-2</v>
      </c>
      <c r="H8" s="18">
        <v>8.6999999999999994E-2</v>
      </c>
      <c r="I8" s="18">
        <v>9.8000000000000004E-2</v>
      </c>
    </row>
    <row r="9" spans="1:9" x14ac:dyDescent="0.2">
      <c r="A9" s="15" t="s">
        <v>16</v>
      </c>
      <c r="B9" s="16" t="s">
        <v>10</v>
      </c>
      <c r="C9" s="16" t="s">
        <v>22</v>
      </c>
      <c r="D9" s="16" t="s">
        <v>14</v>
      </c>
      <c r="E9" s="17">
        <v>88291</v>
      </c>
      <c r="F9" s="17">
        <v>86844</v>
      </c>
      <c r="G9" s="18">
        <v>1.0999999999999999E-2</v>
      </c>
      <c r="H9" s="18">
        <v>8.6999999999999994E-2</v>
      </c>
      <c r="I9" s="18">
        <v>9.8000000000000004E-2</v>
      </c>
    </row>
    <row r="10" spans="1:9" x14ac:dyDescent="0.2">
      <c r="A10" s="15" t="s">
        <v>16</v>
      </c>
      <c r="B10" s="16" t="s">
        <v>10</v>
      </c>
      <c r="C10" s="16" t="s">
        <v>23</v>
      </c>
      <c r="D10" s="16" t="s">
        <v>14</v>
      </c>
      <c r="E10" s="17">
        <v>88291</v>
      </c>
      <c r="F10" s="17">
        <v>83872</v>
      </c>
      <c r="G10" s="18">
        <v>1.0999999999999999E-2</v>
      </c>
      <c r="H10" s="18">
        <v>8.4000000000000005E-2</v>
      </c>
      <c r="I10" s="18">
        <v>9.5000000000000001E-2</v>
      </c>
    </row>
    <row r="11" spans="1:9" x14ac:dyDescent="0.2">
      <c r="A11" s="15" t="s">
        <v>16</v>
      </c>
      <c r="B11" s="16" t="s">
        <v>10</v>
      </c>
      <c r="C11" s="16" t="s">
        <v>24</v>
      </c>
      <c r="D11" s="16" t="s">
        <v>14</v>
      </c>
      <c r="E11" s="17">
        <v>88291</v>
      </c>
      <c r="F11" s="17">
        <v>87446</v>
      </c>
      <c r="G11" s="18">
        <v>1.0999999999999999E-2</v>
      </c>
      <c r="H11" s="18">
        <v>8.6999999999999994E-2</v>
      </c>
      <c r="I11" s="18">
        <v>9.9000000000000005E-2</v>
      </c>
    </row>
    <row r="12" spans="1:9" x14ac:dyDescent="0.2">
      <c r="A12" s="15" t="s">
        <v>16</v>
      </c>
      <c r="B12" s="16" t="s">
        <v>10</v>
      </c>
      <c r="C12" s="16" t="s">
        <v>25</v>
      </c>
      <c r="D12" s="16" t="s">
        <v>14</v>
      </c>
      <c r="E12" s="17">
        <v>88291</v>
      </c>
      <c r="F12" s="17">
        <v>84791</v>
      </c>
      <c r="G12" s="18">
        <v>1.0999999999999999E-2</v>
      </c>
      <c r="H12" s="18">
        <v>8.5000000000000006E-2</v>
      </c>
      <c r="I12" s="18">
        <v>9.6000000000000002E-2</v>
      </c>
    </row>
    <row r="13" spans="1:9" x14ac:dyDescent="0.2">
      <c r="A13" s="15" t="s">
        <v>16</v>
      </c>
      <c r="B13" s="16" t="s">
        <v>10</v>
      </c>
      <c r="C13" s="16"/>
      <c r="D13" s="16" t="s">
        <v>14</v>
      </c>
      <c r="E13" s="17">
        <v>88291</v>
      </c>
      <c r="F13" s="17">
        <v>85488</v>
      </c>
      <c r="G13" s="18">
        <v>1.0999999999999999E-2</v>
      </c>
      <c r="H13" s="18">
        <v>8.5999999999999993E-2</v>
      </c>
      <c r="I13" s="18">
        <v>9.7000000000000003E-2</v>
      </c>
    </row>
    <row r="14" spans="1:9" x14ac:dyDescent="0.2">
      <c r="A14" s="15" t="s">
        <v>26</v>
      </c>
      <c r="B14" s="16" t="s">
        <v>10</v>
      </c>
      <c r="C14" s="16" t="s">
        <v>17</v>
      </c>
      <c r="D14" s="16" t="s">
        <v>14</v>
      </c>
      <c r="E14" s="17">
        <v>88291</v>
      </c>
      <c r="F14" s="17">
        <v>63357</v>
      </c>
      <c r="G14" s="18">
        <v>4.9000000000000002E-2</v>
      </c>
      <c r="H14" s="18">
        <v>0.13900000000000001</v>
      </c>
      <c r="I14" s="18">
        <v>0.188</v>
      </c>
    </row>
    <row r="15" spans="1:9" x14ac:dyDescent="0.2">
      <c r="A15" s="15" t="s">
        <v>26</v>
      </c>
      <c r="B15" s="16" t="s">
        <v>10</v>
      </c>
      <c r="C15" s="16" t="s">
        <v>18</v>
      </c>
      <c r="D15" s="16" t="s">
        <v>14</v>
      </c>
      <c r="E15" s="17">
        <v>88291</v>
      </c>
      <c r="F15" s="17">
        <v>65076</v>
      </c>
      <c r="G15" s="18">
        <v>4.9000000000000002E-2</v>
      </c>
      <c r="H15" s="18">
        <v>0.14299999999999999</v>
      </c>
      <c r="I15" s="18">
        <v>0.192</v>
      </c>
    </row>
    <row r="16" spans="1:9" x14ac:dyDescent="0.2">
      <c r="A16" s="15" t="s">
        <v>26</v>
      </c>
      <c r="B16" s="16" t="s">
        <v>10</v>
      </c>
      <c r="C16" s="16" t="s">
        <v>19</v>
      </c>
      <c r="D16" s="16" t="s">
        <v>14</v>
      </c>
      <c r="E16" s="17">
        <v>88291</v>
      </c>
      <c r="F16" s="17">
        <v>66339</v>
      </c>
      <c r="G16" s="18">
        <v>4.9000000000000002E-2</v>
      </c>
      <c r="H16" s="18">
        <v>0.14599999999999999</v>
      </c>
      <c r="I16" s="18">
        <v>0.19500000000000001</v>
      </c>
    </row>
    <row r="17" spans="1:9" x14ac:dyDescent="0.2">
      <c r="A17" s="15" t="s">
        <v>26</v>
      </c>
      <c r="B17" s="16" t="s">
        <v>10</v>
      </c>
      <c r="C17" s="16" t="s">
        <v>20</v>
      </c>
      <c r="D17" s="16" t="s">
        <v>14</v>
      </c>
      <c r="E17" s="17">
        <v>88291</v>
      </c>
      <c r="F17" s="17">
        <v>64551</v>
      </c>
      <c r="G17" s="18">
        <v>4.9000000000000002E-2</v>
      </c>
      <c r="H17" s="18">
        <v>0.14199999999999999</v>
      </c>
      <c r="I17" s="18">
        <v>0.191</v>
      </c>
    </row>
    <row r="18" spans="1:9" x14ac:dyDescent="0.2">
      <c r="A18" s="15" t="s">
        <v>26</v>
      </c>
      <c r="B18" s="16" t="s">
        <v>10</v>
      </c>
      <c r="C18" s="16" t="s">
        <v>21</v>
      </c>
      <c r="D18" s="16" t="s">
        <v>14</v>
      </c>
      <c r="E18" s="17">
        <v>88291</v>
      </c>
      <c r="F18" s="17">
        <v>64386</v>
      </c>
      <c r="G18" s="18">
        <v>4.9000000000000002E-2</v>
      </c>
      <c r="H18" s="18">
        <v>0.14199999999999999</v>
      </c>
      <c r="I18" s="18">
        <v>0.19</v>
      </c>
    </row>
    <row r="19" spans="1:9" x14ac:dyDescent="0.2">
      <c r="A19" s="15" t="s">
        <v>26</v>
      </c>
      <c r="B19" s="16" t="s">
        <v>10</v>
      </c>
      <c r="C19" s="16" t="s">
        <v>22</v>
      </c>
      <c r="D19" s="16" t="s">
        <v>14</v>
      </c>
      <c r="E19" s="17">
        <v>88291</v>
      </c>
      <c r="F19" s="17">
        <v>67123</v>
      </c>
      <c r="G19" s="18">
        <v>4.9000000000000002E-2</v>
      </c>
      <c r="H19" s="18">
        <v>0.14799999999999999</v>
      </c>
      <c r="I19" s="18">
        <v>0.19600000000000001</v>
      </c>
    </row>
    <row r="20" spans="1:9" x14ac:dyDescent="0.2">
      <c r="A20" s="15" t="s">
        <v>26</v>
      </c>
      <c r="B20" s="16" t="s">
        <v>10</v>
      </c>
      <c r="C20" s="16" t="s">
        <v>23</v>
      </c>
      <c r="D20" s="16" t="s">
        <v>14</v>
      </c>
      <c r="E20" s="17">
        <v>88291</v>
      </c>
      <c r="F20" s="17">
        <v>64304</v>
      </c>
      <c r="G20" s="18">
        <v>4.9000000000000002E-2</v>
      </c>
      <c r="H20" s="18">
        <v>0.14199999999999999</v>
      </c>
      <c r="I20" s="18">
        <v>0.19</v>
      </c>
    </row>
    <row r="21" spans="1:9" x14ac:dyDescent="0.2">
      <c r="A21" s="15" t="s">
        <v>26</v>
      </c>
      <c r="B21" s="16" t="s">
        <v>10</v>
      </c>
      <c r="C21" s="16" t="s">
        <v>24</v>
      </c>
      <c r="D21" s="16" t="s">
        <v>14</v>
      </c>
      <c r="E21" s="17">
        <v>88291</v>
      </c>
      <c r="F21" s="17">
        <v>67202</v>
      </c>
      <c r="G21" s="18">
        <v>4.9000000000000002E-2</v>
      </c>
      <c r="H21" s="18">
        <v>0.14799999999999999</v>
      </c>
      <c r="I21" s="18">
        <v>0.19600000000000001</v>
      </c>
    </row>
    <row r="22" spans="1:9" x14ac:dyDescent="0.2">
      <c r="A22" s="15" t="s">
        <v>26</v>
      </c>
      <c r="B22" s="16" t="s">
        <v>10</v>
      </c>
      <c r="C22" s="16" t="s">
        <v>25</v>
      </c>
      <c r="D22" s="16" t="s">
        <v>14</v>
      </c>
      <c r="E22" s="17">
        <v>88291</v>
      </c>
      <c r="F22" s="17">
        <v>84228</v>
      </c>
      <c r="G22" s="18">
        <v>4.9000000000000002E-2</v>
      </c>
      <c r="H22" s="18">
        <v>0.185</v>
      </c>
      <c r="I22" s="18">
        <v>0.23400000000000001</v>
      </c>
    </row>
    <row r="23" spans="1:9" x14ac:dyDescent="0.2">
      <c r="A23" s="15" t="s">
        <v>26</v>
      </c>
      <c r="B23" s="16" t="s">
        <v>10</v>
      </c>
      <c r="C23" s="16"/>
      <c r="D23" s="16" t="s">
        <v>14</v>
      </c>
      <c r="E23" s="17">
        <v>88291</v>
      </c>
      <c r="F23" s="17">
        <v>69130</v>
      </c>
      <c r="G23" s="18">
        <v>4.9000000000000002E-2</v>
      </c>
      <c r="H23" s="18">
        <v>0.152</v>
      </c>
      <c r="I23" s="18">
        <v>0.20100000000000001</v>
      </c>
    </row>
    <row r="24" spans="1:9" x14ac:dyDescent="0.2">
      <c r="A24" s="21" t="s">
        <v>29</v>
      </c>
      <c r="B24" s="22"/>
      <c r="C24" s="22"/>
      <c r="D24" s="23"/>
      <c r="E24" s="19">
        <v>46275</v>
      </c>
      <c r="F24" s="19">
        <v>36127</v>
      </c>
      <c r="G24" s="20">
        <v>8.0000000000000002E-3</v>
      </c>
      <c r="H24" s="20">
        <v>4.7E-2</v>
      </c>
      <c r="I24" s="20">
        <v>5.1999999999999998E-2</v>
      </c>
    </row>
  </sheetData>
  <mergeCells count="1">
    <mergeCell ref="A24:D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token_costs</vt:lpstr>
      <vt:lpstr>all token costs</vt:lpstr>
      <vt:lpstr>overall token 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Owen Sun</cp:lastModifiedBy>
  <dcterms:created xsi:type="dcterms:W3CDTF">2026-05-21T20:35:37Z</dcterms:created>
  <dcterms:modified xsi:type="dcterms:W3CDTF">2026-05-21T20:44:30Z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1974fc8-691a-4b82-a84d-4330b2f06529_Enabled">
    <vt:lpwstr>true</vt:lpwstr>
  </property>
  <property fmtid="{D5CDD505-2E9C-101B-9397-08002B2CF9AE}" pid="3" name="MSIP_Label_61974fc8-691a-4b82-a84d-4330b2f06529_SetDate">
    <vt:lpwstr>2026-05-21T20:43:17Z</vt:lpwstr>
  </property>
  <property fmtid="{D5CDD505-2E9C-101B-9397-08002B2CF9AE}" pid="4" name="MSIP_Label_61974fc8-691a-4b82-a84d-4330b2f06529_Method">
    <vt:lpwstr>Standard</vt:lpwstr>
  </property>
  <property fmtid="{D5CDD505-2E9C-101B-9397-08002B2CF9AE}" pid="5" name="MSIP_Label_61974fc8-691a-4b82-a84d-4330b2f06529_Name">
    <vt:lpwstr>defa4170-0d19-0005-0004-bc88714345d2</vt:lpwstr>
  </property>
  <property fmtid="{D5CDD505-2E9C-101B-9397-08002B2CF9AE}" pid="6" name="MSIP_Label_61974fc8-691a-4b82-a84d-4330b2f06529_SiteId">
    <vt:lpwstr>3604475b-733c-480c-a414-8b0cd5fa28b8</vt:lpwstr>
  </property>
  <property fmtid="{D5CDD505-2E9C-101B-9397-08002B2CF9AE}" pid="7" name="MSIP_Label_61974fc8-691a-4b82-a84d-4330b2f06529_ActionId">
    <vt:lpwstr>da41b5bb-9240-4c22-a52c-b9cc6561b62d</vt:lpwstr>
  </property>
  <property fmtid="{D5CDD505-2E9C-101B-9397-08002B2CF9AE}" pid="8" name="MSIP_Label_61974fc8-691a-4b82-a84d-4330b2f06529_ContentBits">
    <vt:lpwstr>0</vt:lpwstr>
  </property>
  <property fmtid="{D5CDD505-2E9C-101B-9397-08002B2CF9AE}" pid="9" name="MSIP_Label_61974fc8-691a-4b82-a84d-4330b2f06529_Tag">
    <vt:lpwstr>50, 3, 0, 1</vt:lpwstr>
  </property>
</Properties>
</file>