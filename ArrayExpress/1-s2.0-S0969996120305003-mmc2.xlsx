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yush\Dropbox (Partners HealthCare)\Transcriptomics Meta-Analysis\Paper and Presentation\Final\NBD Proof Corrections\Updated Tables\"/>
    </mc:Choice>
  </mc:AlternateContent>
  <xr:revisionPtr revIDLastSave="0" documentId="13_ncr:1_{E2FC180E-830E-4F82-965E-C11B06E5288C}" xr6:coauthVersionLast="45" xr6:coauthVersionMax="45" xr10:uidLastSave="{00000000-0000-0000-0000-000000000000}"/>
  <bookViews>
    <workbookView xWindow="-98" yWindow="-98" windowWidth="33946" windowHeight="22096" xr2:uid="{00000000-000D-0000-FFFF-FFFF00000000}"/>
  </bookViews>
  <sheets>
    <sheet name="Systematic Search Criteria" sheetId="2" r:id="rId1"/>
    <sheet name="AD Datasets" sheetId="1" r:id="rId2"/>
    <sheet name="LBD Datasets" sheetId="5" r:id="rId3"/>
    <sheet name="ALS-FTD Datasets" sheetId="6" r:id="rId4"/>
    <sheet name="Total Datasets" sheetId="7" r:id="rId5"/>
  </sheets>
  <definedNames>
    <definedName name="_xlnm._FilterDatabase" localSheetId="1" hidden="1">'AD Datasets'!$D$2:$D$78</definedName>
    <definedName name="_xlnm._FilterDatabase" localSheetId="3" hidden="1">'ALS-FTD Datasets'!$D$2:$D$79</definedName>
    <definedName name="_xlnm._FilterDatabase" localSheetId="2" hidden="1">'LBD Datasets'!$D$2:$D$90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1" i="7" l="1"/>
  <c r="M18" i="7"/>
  <c r="M17" i="7"/>
  <c r="M16" i="7"/>
  <c r="M14" i="7"/>
  <c r="M13" i="7"/>
  <c r="M10" i="7"/>
  <c r="M9" i="7"/>
  <c r="M6" i="7"/>
  <c r="M5" i="7"/>
  <c r="N4" i="6"/>
  <c r="N5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3" i="6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3" i="5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3" i="1"/>
  <c r="F16" i="2" l="1"/>
  <c r="E16" i="2"/>
  <c r="D16" i="2"/>
</calcChain>
</file>

<file path=xl/sharedStrings.xml><?xml version="1.0" encoding="utf-8"?>
<sst xmlns="http://schemas.openxmlformats.org/spreadsheetml/2006/main" count="1157" uniqueCount="522">
  <si>
    <t>ALS-FTD</t>
  </si>
  <si>
    <t>Included?</t>
  </si>
  <si>
    <t>Alzheimer Datasets</t>
  </si>
  <si>
    <t>Rationale</t>
  </si>
  <si>
    <t>1. Duplicate Study</t>
  </si>
  <si>
    <t>Tissue</t>
  </si>
  <si>
    <t>Disease</t>
  </si>
  <si>
    <t>Control</t>
  </si>
  <si>
    <t>Platform</t>
  </si>
  <si>
    <t>Platform Description</t>
  </si>
  <si>
    <t>Procedure</t>
  </si>
  <si>
    <t>Link</t>
  </si>
  <si>
    <t>Title</t>
  </si>
  <si>
    <t>Abbr.</t>
  </si>
  <si>
    <t>Submission</t>
  </si>
  <si>
    <t>2. Reanalysis</t>
  </si>
  <si>
    <t>#</t>
  </si>
  <si>
    <t>AD</t>
  </si>
  <si>
    <t>LBD</t>
  </si>
  <si>
    <t>ArrayExpress Dataset Selection</t>
  </si>
  <si>
    <t>Accession #</t>
  </si>
  <si>
    <t>("parkinson's" OR "parkinson" OR "lewy body disease") AND organism:"Homo sapiens" AND exptype:"transcription profiling by array"</t>
  </si>
  <si>
    <t>("amyotrophic lateral sclerosis" OR "frontotemporal dementia" OR "motor neuron disease" OR "motor neurone disease") AND organism:"Homo sapiens" AND exptype:"transcription profiling by array"</t>
  </si>
  <si>
    <t>("alzheimer's" OR "alzheimer") AND organism:"Homo sapiens" AND exptype:"transcription profiling by array"</t>
  </si>
  <si>
    <t>74 datasets</t>
  </si>
  <si>
    <t>88 datasets</t>
  </si>
  <si>
    <t>76 datasets</t>
  </si>
  <si>
    <t>ALS-FTD Datasets</t>
  </si>
  <si>
    <t>E-MTAB-7852</t>
  </si>
  <si>
    <t>E-MTAB-8283</t>
  </si>
  <si>
    <t>E-MTAB-6094</t>
  </si>
  <si>
    <t>E-GEOD-84422</t>
  </si>
  <si>
    <t>E-GEOD-85426</t>
  </si>
  <si>
    <t>E-GEOD-77668</t>
  </si>
  <si>
    <t>E-GEOD-77667</t>
  </si>
  <si>
    <t>E-GEOD-77666</t>
  </si>
  <si>
    <t>E-GEOD-31163</t>
  </si>
  <si>
    <t>E-GEOD-63063</t>
  </si>
  <si>
    <t>E-GEOD-63061</t>
  </si>
  <si>
    <t>E-GEOD-63060</t>
  </si>
  <si>
    <t>E-GEOD-69480</t>
  </si>
  <si>
    <t>E-MTAB-3732</t>
  </si>
  <si>
    <t>E-GEOD-42492</t>
  </si>
  <si>
    <t>E-MTAB-2325</t>
  </si>
  <si>
    <t>E-GEOD-55173</t>
  </si>
  <si>
    <t>E-GEOD-39420</t>
  </si>
  <si>
    <t>E-MTAB-1841</t>
  </si>
  <si>
    <t>E-GEOD-33000</t>
  </si>
  <si>
    <t>E-GEOD-58959</t>
  </si>
  <si>
    <t>E-GEOD-37264</t>
  </si>
  <si>
    <t>E-GEOD-58364</t>
  </si>
  <si>
    <t>E-GEOD-58349</t>
  </si>
  <si>
    <t>E-GEOD-58348</t>
  </si>
  <si>
    <t>E-GEOD-48350</t>
  </si>
  <si>
    <t>E-GEOD-56899</t>
  </si>
  <si>
    <t>E-GEOD-53890</t>
  </si>
  <si>
    <t>E-GEOD-44805</t>
  </si>
  <si>
    <t>E-GEOD-30643</t>
  </si>
  <si>
    <t>E-GEOD-29378</t>
  </si>
  <si>
    <t>E-GEOD-44772</t>
  </si>
  <si>
    <t>E-GEOD-44771</t>
  </si>
  <si>
    <t>E-GEOD-44770</t>
  </si>
  <si>
    <t>E-GEOD-44768</t>
  </si>
  <si>
    <t>E-GEOD-36980</t>
  </si>
  <si>
    <t>E-GEOD-45596</t>
  </si>
  <si>
    <t>E-GEOD-13214</t>
  </si>
  <si>
    <t>E-GEOD-41868</t>
  </si>
  <si>
    <t>E-GEOD-26972</t>
  </si>
  <si>
    <t>E-GEOD-38652</t>
  </si>
  <si>
    <t>E-GEOD-29680</t>
  </si>
  <si>
    <t>E-GEOD-37257</t>
  </si>
  <si>
    <t>E-GEOD-37263</t>
  </si>
  <si>
    <t>E-GEOD-34879</t>
  </si>
  <si>
    <t>E-GEOD-30951</t>
  </si>
  <si>
    <t>E-GEOD-32390</t>
  </si>
  <si>
    <t>E-GEOD-32645</t>
  </si>
  <si>
    <t>E-GEOD-28379</t>
  </si>
  <si>
    <t>E-MTAB-656</t>
  </si>
  <si>
    <t>E-GEOD-28146</t>
  </si>
  <si>
    <t>E-GEOD-30945</t>
  </si>
  <si>
    <t>E-GEOD-29652</t>
  </si>
  <si>
    <t>E-GEOD-26927</t>
  </si>
  <si>
    <t>E-GEOD-20164</t>
  </si>
  <si>
    <t>E-GEOD-20163</t>
  </si>
  <si>
    <t>E-GEOD-21450</t>
  </si>
  <si>
    <t>E-GEOD-24345</t>
  </si>
  <si>
    <t>E-MTAB-62</t>
  </si>
  <si>
    <t>E-GEOD-4229</t>
  </si>
  <si>
    <t>E-GEOD-4227</t>
  </si>
  <si>
    <t>E-GEOD-16759</t>
  </si>
  <si>
    <t>E-MEXP-2280</t>
  </si>
  <si>
    <t>E-GEOD-18309</t>
  </si>
  <si>
    <t>E-GEOD-4757</t>
  </si>
  <si>
    <t>E-MEXP-1913</t>
  </si>
  <si>
    <t>E-GEOD-14429</t>
  </si>
  <si>
    <t>E-GEOD-12685</t>
  </si>
  <si>
    <t>E-GEOD-6613</t>
  </si>
  <si>
    <t>E-GEOD-6276</t>
  </si>
  <si>
    <t>E-TABM-185</t>
  </si>
  <si>
    <t>E-GEOD-1297</t>
  </si>
  <si>
    <t>E-GEOD-4097</t>
  </si>
  <si>
    <t>E-GEOD-6834</t>
  </si>
  <si>
    <t>E-GEOD-6771</t>
  </si>
  <si>
    <t>E-GEOD-5281</t>
  </si>
  <si>
    <t>Cultures of hiPS cells and their differentiation into neuronal cells</t>
  </si>
  <si>
    <t>miRNA PCR Array of cortex tissue from Alzheimer disease (AD), high pathological control (HPC) and normal (CTL)subjects</t>
  </si>
  <si>
    <t>Whole genome transcriptional analysis of Alzheimer's disease patients compared with age-matched non-demented controls</t>
  </si>
  <si>
    <t>Molecular Signatures Underlying Selective Regional Vulnerability to Alzheimer's Disease</t>
  </si>
  <si>
    <t>Peripheral blood gene expression as a biomarker for early detection of Alzheimer?s disease</t>
  </si>
  <si>
    <t>Expression mRNA and miRNA data from human postmortem putamen samples measured using the NanoString nCounter platform</t>
  </si>
  <si>
    <t>Expression miRNA data from human postmortem putamen samples measured using the NanoString nCounter platform</t>
  </si>
  <si>
    <t>Expression mRNA data from human postmortem putamen samples measured using the NanoString nCounter platform</t>
  </si>
  <si>
    <t>Human induced pluripotent stem cells derived from a sporadic Alzheimer's disease patient</t>
  </si>
  <si>
    <t>Alzheimer, Mild Cognitive impairment and control samples from AddneuroMed Cohort</t>
  </si>
  <si>
    <t>Alzheimer, Mild Cognitive impairment and control samples from AddneuroMed Cohort (batch 2)</t>
  </si>
  <si>
    <t>Alzheimer, MCI and control samples from AddneuroMed Cohort (batch 1)</t>
  </si>
  <si>
    <t>Direct conversion of normal and patient human fibroblasts into neuronal cells</t>
  </si>
  <si>
    <t>A comprehensive human expression map</t>
  </si>
  <si>
    <t>Induced pluripotent stem cell-derived neurons from a sporadic Alzheimer disease donor as a model for investigating disease mechanisms</t>
  </si>
  <si>
    <t>Gene expression profiles in motor cortex of Control and Sporadic Amyotrphic Lateral Sclerosis patients</t>
  </si>
  <si>
    <t>A Human Model of Cerebral Amyloid Angiopathy Using Neural Crest-Derived Vascular Smooth Muscle Cells</t>
  </si>
  <si>
    <t>Gene expression profile of sporadic and PSEN1 early-onset Alzheimer?s Disease</t>
  </si>
  <si>
    <t>Transcription profiling of human neuroblastoma cell line SH-SY5Y after treatment with soluble amyloid peptides Abeta42_wt, Abeta42_G33A, Abeta40 and vehicle control for different timepoints</t>
  </si>
  <si>
    <t>Gene expression profiles of human prefrontal cortex brain tissues</t>
  </si>
  <si>
    <t>NLRP3 inflammasome activation-responsive genes in a human monocyte cell line THP-1</t>
  </si>
  <si>
    <t>Genome-wide profiling of altered gene expression in the neocortex of Alzheimer's disease (exon level)</t>
  </si>
  <si>
    <t>Human leukocytes from 6 volunteers before and 2h after pectin capsules consumption (IV)</t>
  </si>
  <si>
    <t>Human leukocytes from 6 volunteers before and 2h after pectin capsules consumption (II)</t>
  </si>
  <si>
    <t>Human leukocytes from 6 volunteers before and 2h after pectin capsules consumption (I)</t>
  </si>
  <si>
    <t>Microarray analysis of Alzheimer's disease patients across 4 brain regions</t>
  </si>
  <si>
    <t>Microarray Data of cell-free RNA across pregnancy time course</t>
  </si>
  <si>
    <t>REST and Stress Resistance in Aging and Alzheimer?s Disease</t>
  </si>
  <si>
    <t>Capturing the biological impact of the melanoma susceptibility genes CDKN2A and MC1R in  cocultured keratinocytes and melanocytes</t>
  </si>
  <si>
    <t>Expression data from parietal cortex of G114V genetic Creutzfeldt-Jakob disease patient</t>
  </si>
  <si>
    <t>Genes and Pathways Underlying Regional and Cell Type Changes in Alzheimer's Disease</t>
  </si>
  <si>
    <t>Multi-tissue gene expression profiles of human brain</t>
  </si>
  <si>
    <t>Multi-tissue gene expression profiles of human brain (VC)</t>
  </si>
  <si>
    <t>Multi-tissue gene expression profiles of human brain (PFC)</t>
  </si>
  <si>
    <t>Multi-tissue gene expression profiles of human brain (CR)</t>
  </si>
  <si>
    <t>Microarray analysis of postmortem human brains with presence or absence of Alzheimer's disease</t>
  </si>
  <si>
    <t>Brain microvessel: Alzheimer disease vs normal</t>
  </si>
  <si>
    <t>Evaluation of gene expression profile in postmortem brain with AlzheimerÂ´s disease-type neuropathological changes</t>
  </si>
  <si>
    <t>Genome-wide analysis of mRNA levels in response to a Pin1 knock-down</t>
  </si>
  <si>
    <t>Expression data from non-demented controls (NDCs) and Alzheimer's disease (AD) patients</t>
  </si>
  <si>
    <t>In vitro responses of fibroblasts from patients with TBK1 deficiency after TLR3 dependent and independent stimuli</t>
  </si>
  <si>
    <t>Microarray analysis of blood samples from Alzheimer disease patients received dietary rich in n-3 fatty acids or placebo for 6 months</t>
  </si>
  <si>
    <t>EpCAM knock-down in FaDu head and neck carcinoma cells</t>
  </si>
  <si>
    <t>Genome-wide profiling of altered gene expression in the neocortex of Alzheimer's disease (gene level)</t>
  </si>
  <si>
    <t>Induced pluripotent stem cell-derived models of sporadic and familial Alzheimer?s disease</t>
  </si>
  <si>
    <t>Complete TLR3 deficiency</t>
  </si>
  <si>
    <t>In vitro responses of PBMC and fibroblasts from patients with TRIF deficiency after TRIF dependent and independent stimuli</t>
  </si>
  <si>
    <t>Microarray analysis of cerebral corted from patients with progressive multiple sclerosis, meningitis tuberculosis, Alzheimers disease as well as of normal cortex</t>
  </si>
  <si>
    <t>Gene expression profiles of familial Alzheimer's disease with presenilin 2 mutation patient-specific induced pluripotent stem cells</t>
  </si>
  <si>
    <t>Alternative splicing in human temporal cortex</t>
  </si>
  <si>
    <t>Microarray analysis of laser-captured hippocampus from Alzheimer's disease patients</t>
  </si>
  <si>
    <t>The use of non-amplified RNA samples for gene expression analysis by sensitive microarray</t>
  </si>
  <si>
    <t>Microarray analysis of the astrocyte transcriptome in the ageing brain: relationship to Alzheimer's pathology and ApoE genotype</t>
  </si>
  <si>
    <t>Common neuroinflammatory pathways in neurodegenerative diseases</t>
  </si>
  <si>
    <t>Systematic meta-analysis and replication of genome-wide expression studies of Parkinson's disease: 3</t>
  </si>
  <si>
    <t>Systematic meta-analysis and replication of genome-wide expression studies of Parkinson's disease: 2</t>
  </si>
  <si>
    <t>Dysregulated expression and alternative splicing of genes controlling neuritogenesis and axon guidance revealed by exon-sensitive microarrays in models of neurodegeneration</t>
  </si>
  <si>
    <t>UC San Diego_Friedmann_Kang_Human fibroblast knockdown</t>
  </si>
  <si>
    <t>Human gene expression atlas of 5372 samples representing 369 different cell and tissue types, disease states and cell lines</t>
  </si>
  <si>
    <t>Expression profiling of peripheral blood mononuclear cell</t>
  </si>
  <si>
    <t>GSTM3 single nucleotide polymorphism (rs7483) associated with peripheral BMC expression in Alzheimer disease</t>
  </si>
  <si>
    <t>Microarray analysis of parietal lobe from Alzheimer's disease patients</t>
  </si>
  <si>
    <t>Transcription profiling of patients with four neurodegenerative disorders distinguishes tauopathies and identifies shared molecular pathways</t>
  </si>
  <si>
    <t>Microarray analysis of peripheral blood monocytes from patients with Alzheimer's disease or mild cognitive impairment and healthy individuals</t>
  </si>
  <si>
    <t>Transcription profiling by array of human neurons with and without neurofibrillary tangles from patients with Alzheimer's disease</t>
  </si>
  <si>
    <t>Transcription profiling of human neuroblastoma cell line SH-SY5Y transfected to produce phenotypes with low, medium or high levels of beta-amyloid peptides with 40 or 42 amino acids</t>
  </si>
  <si>
    <t>Transcription profiling by array of human HEK293 cells treated with the proteasome inhibitor epoxomicin</t>
  </si>
  <si>
    <t>Microarray analysis of synaptoneurosomes from prefrontal cortex of control and incipient Alzheimer's disease patients</t>
  </si>
  <si>
    <t>Microarray analysis of blood of individuals with early Parkinson's disease</t>
  </si>
  <si>
    <t>Transcription profiling of human cells embryonic kidney cells (HEK 293 cell line) overexpressing different isoforms of hIMP1 protein</t>
  </si>
  <si>
    <t>Transcription profiling by array of integrated human experiments involving the hgu133a platform to investigate a global map of human gene expression</t>
  </si>
  <si>
    <t>Transcription profiling by array of hippocampus from patients with Alzheimer's disease of varying severity</t>
  </si>
  <si>
    <t>Transcription profiling of human SHEP-SF cells expressing AICD and Fe65</t>
  </si>
  <si>
    <t>Temporal lobe epilepsy and Alzheimer's disease</t>
  </si>
  <si>
    <t>Temporal Cortex Control (mesial temporal lobe epilepsy control)</t>
  </si>
  <si>
    <t>Microarray analysis of six brain areas from Alzheimers disease patients and normal individuals</t>
  </si>
  <si>
    <t>No</t>
  </si>
  <si>
    <t>Duplicate Study</t>
  </si>
  <si>
    <t>E-MTAB-8635</t>
  </si>
  <si>
    <t>E-MTAB-4964</t>
  </si>
  <si>
    <t>E-MTAB-6189</t>
  </si>
  <si>
    <t>E-GEOD-68608</t>
  </si>
  <si>
    <t>E-GEOD-68607</t>
  </si>
  <si>
    <t>E-GEOD-68605</t>
  </si>
  <si>
    <t>E-GEOD-59128</t>
  </si>
  <si>
    <t>E-GEOD-68240</t>
  </si>
  <si>
    <t>E-GEOD-60082</t>
  </si>
  <si>
    <t>E-GEOD-67527</t>
  </si>
  <si>
    <t>E-GEOD-66061</t>
  </si>
  <si>
    <t>E-GEOD-65470</t>
  </si>
  <si>
    <t>E-GEOD-58316</t>
  </si>
  <si>
    <t>E-GEOD-40807</t>
  </si>
  <si>
    <t>E-GEOD-44721</t>
  </si>
  <si>
    <t>E-GEOD-52917</t>
  </si>
  <si>
    <t>E-GEOD-61322</t>
  </si>
  <si>
    <t>E-GEOD-61321</t>
  </si>
  <si>
    <t>E-GEOD-61320</t>
  </si>
  <si>
    <t>E-GEOD-56504</t>
  </si>
  <si>
    <t>E-GEOD-56500</t>
  </si>
  <si>
    <t>E-GEOD-33855</t>
  </si>
  <si>
    <t>E-GEOD-56808</t>
  </si>
  <si>
    <t>E-GEOD-40328</t>
  </si>
  <si>
    <t>E-GEOD-52392</t>
  </si>
  <si>
    <t>E-GEOD-52390</t>
  </si>
  <si>
    <t>E-MTAB-1927</t>
  </si>
  <si>
    <t>E-MTAB-1926</t>
  </si>
  <si>
    <t>E-MTAB-1925</t>
  </si>
  <si>
    <t>E-MTAB-1788</t>
  </si>
  <si>
    <t>E-GEOD-49657</t>
  </si>
  <si>
    <t>E-GEOD-47554</t>
  </si>
  <si>
    <t>E-GEOD-37640</t>
  </si>
  <si>
    <t>E-GEOD-40438</t>
  </si>
  <si>
    <t>E-GEOD-41414</t>
  </si>
  <si>
    <t>E-GEOD-27207</t>
  </si>
  <si>
    <t>E-GEOD-27206</t>
  </si>
  <si>
    <t>E-GEOD-27205</t>
  </si>
  <si>
    <t>E-GEOD-31243</t>
  </si>
  <si>
    <t>E-MTAB-850</t>
  </si>
  <si>
    <t>E-GEOD-40378</t>
  </si>
  <si>
    <t>E-GEOD-39644</t>
  </si>
  <si>
    <t>E-GEOD-39643</t>
  </si>
  <si>
    <t>E-GEOD-39642</t>
  </si>
  <si>
    <t>E-GEOD-30806</t>
  </si>
  <si>
    <t>E-GEOD-27564</t>
  </si>
  <si>
    <t>E-MEXP-3260</t>
  </si>
  <si>
    <t>E-GEOD-28253</t>
  </si>
  <si>
    <t>E-GEOD-31772</t>
  </si>
  <si>
    <t>E-GEOD-26276</t>
  </si>
  <si>
    <t>E-GEOD-20589</t>
  </si>
  <si>
    <t>E-TABM-940</t>
  </si>
  <si>
    <t>E-GEOD-21298</t>
  </si>
  <si>
    <t>E-GEOD-21929</t>
  </si>
  <si>
    <t>E-GEOD-19519</t>
  </si>
  <si>
    <t>E-GEOD-19332</t>
  </si>
  <si>
    <t>E-GEOD-16191</t>
  </si>
  <si>
    <t>E-GEOD-13828</t>
  </si>
  <si>
    <t>E-GEOD-12288</t>
  </si>
  <si>
    <t>E-GEOD-13162</t>
  </si>
  <si>
    <t>E-GEOD-4590</t>
  </si>
  <si>
    <t>E-GEOD-9397</t>
  </si>
  <si>
    <t>E-GEOD-5287</t>
  </si>
  <si>
    <t>E-GEOD-4595</t>
  </si>
  <si>
    <t>E-GEOD-7423</t>
  </si>
  <si>
    <t>E-GEOD-833</t>
  </si>
  <si>
    <t>E-GEOD-3307</t>
  </si>
  <si>
    <t>Gene expression profiles in spinal cord of control and sporadic Amyotrophic Lateral Sclerosis patients</t>
  </si>
  <si>
    <t>Microenvironment-driven resistance to B-Raf inhibition in a melanoma patient is accompanied by broad changes of gene methylation and expression in distal fibroblasts. Transcriptomic study</t>
  </si>
  <si>
    <t>Differential gene expression study in brain samples from patients suffering distinct frontotemporal lobar degeneration (FTLD) conditions</t>
  </si>
  <si>
    <t>C9ORF72 GGGGCC expanded repeats produce splicing dysregulation which correlates with disease severity in amyotrophic lateral sclerosis</t>
  </si>
  <si>
    <t>C9ORF72 GGGGCC expanded repeats produce splicing dysregulation which correlates with disease severity in amyotrophic lateral sclerosis [HuEx-1_0-st]</t>
  </si>
  <si>
    <t>C9ORF72 GGGGCC expanded repeats produce splicing dysregulation which correlates with disease severity in amyotrophic lateral sclerosis [HG-U133_Plus_2]</t>
  </si>
  <si>
    <t>The human airway epithelial basal cell transcriptome in the early response to injury</t>
  </si>
  <si>
    <t>hiPSC-derived motor neurons: sporadic ALS patients vs. controls</t>
  </si>
  <si>
    <t>Effective sorafenib treatment response in a panel of genomically-characterized malignant peripheral nerve sheath tumor orthoxenograft models</t>
  </si>
  <si>
    <t>Gene expression comparison between fibroblasts samples of control and SPOAN affected patients</t>
  </si>
  <si>
    <t>Gene expression profiling in a VRK1 R358X homozygote patient</t>
  </si>
  <si>
    <t>Modeling the early phenotype at the neuromuscular junction of spinal muscular atrophy using patient-derived iPSCs</t>
  </si>
  <si>
    <t>Suppression of NCALD protects against spinal muscular atrophy by restoring impaired endocytosis</t>
  </si>
  <si>
    <t>MiRNA expression profiling in human medullary thyroid carcinoma</t>
  </si>
  <si>
    <t>IL4 DCs and monocytes stimulated by 13 human vaccines and LPS for 6hr</t>
  </si>
  <si>
    <t>Early pre-symptomatic and progressive signatures of non-coding RNAs in ALS patients and mutation carriers</t>
  </si>
  <si>
    <t>Mutation of senataxin alters disease-specific transcriptional networks in patients with ataxia with oculomotor apraxia type 2 [03_AOA2_patient_blood_2011]</t>
  </si>
  <si>
    <t>Mutation of senataxin alters disease-specific transcriptional networks in patients with ataxia with oculomotor apraxia type 2 [02_fibroblasts_transfected]</t>
  </si>
  <si>
    <t>Mutation of senataxin alters disease-specific transcriptional networks in patients with ataxia with oculomotor apraxia type 2 [01_fibroblasts_patientAndcarrier]</t>
  </si>
  <si>
    <t>Loss of nuclear TDP-43 in ALS causes altered expression of splicing machinery and widespread dysregulation of RNA splicing in motor neurons</t>
  </si>
  <si>
    <t>Loss of nuclear TDP-43 in ALS causes altered expression of splicing machinery and widespread dysregulation of RNA splicing in motor neurons [LCM]</t>
  </si>
  <si>
    <t>Loss of nuclear TDP-43 in ALS causes altered expression of splicing machinery and widespread dysregulation of RNA splicing in motor neurons [fibroblasts]</t>
  </si>
  <si>
    <t>Transcription profiling by array of fibroblasts derived from skin biopsies taken from sporadic amyotrophic lateral sclerosis and primary lateral sclerosis neurologically normal human controls</t>
  </si>
  <si>
    <t>Signaling pathways in skeletal muscle of Amyotrophic Lateral Sclerosis mouse model</t>
  </si>
  <si>
    <t>Integrative DNA methylation and gene expression analysis in high-grade soft tissue sarcomas</t>
  </si>
  <si>
    <t>Integrative DNA methylation and gene expression analysis in high-grade soft tissue sarcomas [gene expression]</t>
  </si>
  <si>
    <t>Transcription profiling by array of neurons differentiated from induced pluripotent stem cells carrying a mutation in the SOD1 gene, an expanded GGGGCC repeat mutation in the chromosome 9 open reading frame 72 gene and those without any (control)</t>
  </si>
  <si>
    <t>Transcription profiling by array of human fibroblasts from healthy control patients, amyotrophic lateral sclerosis (ALS) patients carrying an expanded GGGGCC repeat mutation in the chromosome 9 open reading frame 72 gene and ALS patients with a mutation in the SOD1 gene</t>
  </si>
  <si>
    <t>Transcription profiling by array of post-mortem brain cortex from healthy control patients and amyotrophic lateral sclerosis patients that carry an expanded GGGGCC repeat mutation in the chromosome 9 open reading frame 72 (C9ORF72) gene</t>
  </si>
  <si>
    <t>Human skeletal muscle gene expression meta analysis</t>
  </si>
  <si>
    <t>The inducuction of UPR target genes in response to zinc depletion and serum starvation in HeLa cells</t>
  </si>
  <si>
    <t>DEG in human gastric carcinoma formed in stomach wall and metastasized to ovary in mice system</t>
  </si>
  <si>
    <t>Gene expression profile of TARDBP in hepatocellular carcinoma cell line (SK-Hep1)</t>
  </si>
  <si>
    <t>Gene expression profiling of resistant and vulnerable motor neuron subtypes in amyotrophic lateral sclerosis</t>
  </si>
  <si>
    <t>Gene expression analysis of ALS skeletal muscle</t>
  </si>
  <si>
    <t>Gene Expression Analysis of native and disease-corrected motor neurons from human spinal muscular atrophy induced pluripotent stem cells free of vector and transgenic sequences</t>
  </si>
  <si>
    <t>Global gene expression profiles of iPSC from SMA patient, unaffected father and iPS 19.9 compared to transcriptomic data obtained by corresponding fibroblasts</t>
  </si>
  <si>
    <t>Global gene expression profile and splicing events of iPS-derived motorneurons from SMA patient, unaffected father and TGC-treated cells</t>
  </si>
  <si>
    <t>Transcriptional Alterations of Hamstring Muscle Contractures in Children with Cerebral Palsy</t>
  </si>
  <si>
    <t>Transcriptional profiling by array of human head and neck squamous cell carcinoma to study the correlation between galectin-1 upregulation and the presence of SMA positive cancer-associated fibroblasts</t>
  </si>
  <si>
    <t>Induced pluripotent stem cell models of progranulin-deficient frontotemporal dementia uncover specific reversible neuronal defects</t>
  </si>
  <si>
    <t>Amyotrophic lateral sclerosis</t>
  </si>
  <si>
    <t>NanoString miRNA profiling of peripheral blood sorted CD14+CD16- monocytes from amyotrophic lateral sclerosis, multiple sclerosis and healthy control subjects</t>
  </si>
  <si>
    <t>NanoString nCounter immune-related gene expression in blood sorted CD14+CD16- monocytes from sALS, fALS and HC subjects</t>
  </si>
  <si>
    <t>Expression profiling in VCP-associated myopathy</t>
  </si>
  <si>
    <t>Gene expression profiles of subepithelial myofibroblasts from mouse ileum or colon, implanted together with human cancer cells in mouse xenografts</t>
  </si>
  <si>
    <t>Muscle Gene Expression Is a Marker of Amyotrophic Lateral Sclerosis Severity</t>
  </si>
  <si>
    <t>Peripheral blood lymphocytes: ALS patients vs. healthy controls</t>
  </si>
  <si>
    <t>Functional Genomic Analyses Identify Pathways Dysregulated by Progranulin Deficiency Implicating Wnt Signaling</t>
  </si>
  <si>
    <t>Evaluation of differential gene expression in patients with amyotrophic lateral sclerosis (ALS)</t>
  </si>
  <si>
    <t>Microarray analysis identifies the gene signature of surviving motor neurons in human SOD1-related motor neuron disease</t>
  </si>
  <si>
    <t>Transcription profiling of human blood from patients with ALS vs healthy</t>
  </si>
  <si>
    <t>Profiling wt SOD versus ALS SOD1(G93A) mutant</t>
  </si>
  <si>
    <t>Specified Bacterial Species in Gingival Crevicular Fluid Predict Diversity of  Unattached Subgingival Microbiota</t>
  </si>
  <si>
    <t>Transcription profiling by array of human immortalized B cells from unrelated individuals or twins after treatment with tunicamycin or thapsigargin</t>
  </si>
  <si>
    <t>Mutations in CHMP2B in lower motor neuron predominant amyotrophic lateral sclerosis (ALS)</t>
  </si>
  <si>
    <t>EGR4 is a master gene responsible for fertility in cryptorchidism</t>
  </si>
  <si>
    <t>Transcription profiling of human spinal muscular atrophy patient induced pluripotent stem cells</t>
  </si>
  <si>
    <t>Gene expression patterns in peripheral blood correlate with the extent of coronary artery disease</t>
  </si>
  <si>
    <t>Transcription profiling of human postmortem brain samples with and without FTLD-U</t>
  </si>
  <si>
    <t>Transcription profiling of human B cells at four cconsecutive stages of B cell development</t>
  </si>
  <si>
    <t>Transcription profiling of human Facioscapulohumeral muscular dystrophy (FSHD) muscle profiles</t>
  </si>
  <si>
    <t>Transcription profiling of human advanced bladder cancer to predict response and survival following chemotherapy in patients</t>
  </si>
  <si>
    <t>Transcription profiling of human motor cortex in sporadic amyotrophic lateral sclerosis</t>
  </si>
  <si>
    <t>Transcription profiling of human  Schwann cells FROM HMSN1A, HMSN-LOM AND congenital cateracts facial  dysmophism neuropathy (CCFDN) syndrome TO identify down-stream effects  IN demyelinating neuropathies</t>
  </si>
  <si>
    <t>Transcription profiling of human post mortem spinal cord grey matter from sporadic and familial ALS patients vs controls to identify amyotrophic lateral sclerosis (ALS) associated genes</t>
  </si>
  <si>
    <t>Transcription profiling by array of 12 human muscle diseases</t>
  </si>
  <si>
    <t>E-MTAB-6667</t>
  </si>
  <si>
    <t>E-MTAB-4164</t>
  </si>
  <si>
    <t>E-GEOD-70845</t>
  </si>
  <si>
    <t>E-GEOD-47921</t>
  </si>
  <si>
    <t>E-GEOD-78152</t>
  </si>
  <si>
    <t>E-GEOD-77664</t>
  </si>
  <si>
    <t>E-GEOD-77663</t>
  </si>
  <si>
    <t>E-GEOD-72267</t>
  </si>
  <si>
    <t>E-GEOD-71220</t>
  </si>
  <si>
    <t>E-GEOD-64266</t>
  </si>
  <si>
    <t>E-GEOD-37591</t>
  </si>
  <si>
    <t>E-GEOD-43490</t>
  </si>
  <si>
    <t>E-GEOD-54282</t>
  </si>
  <si>
    <t>E-GEOD-53351</t>
  </si>
  <si>
    <t>E-MTAB-2374</t>
  </si>
  <si>
    <t>E-GEOD-51214</t>
  </si>
  <si>
    <t>E-GEOD-54536</t>
  </si>
  <si>
    <t>E-GEOD-53426</t>
  </si>
  <si>
    <t>E-GEOD-53424</t>
  </si>
  <si>
    <t>E-GEOD-46798</t>
  </si>
  <si>
    <t>E-MTAB-1194</t>
  </si>
  <si>
    <t>E-GEOD-43368</t>
  </si>
  <si>
    <t>E-GEOD-43235</t>
  </si>
  <si>
    <t>E-GEOD-34287</t>
  </si>
  <si>
    <t>E-GEOD-36321</t>
  </si>
  <si>
    <t>E-GEOD-33298</t>
  </si>
  <si>
    <t>E-MTAB-812</t>
  </si>
  <si>
    <t>E-GEOD-35642</t>
  </si>
  <si>
    <t>E-GEOD-38155</t>
  </si>
  <si>
    <t>E-GEOD-38153</t>
  </si>
  <si>
    <t>E-GEOD-22491</t>
  </si>
  <si>
    <t>E-GEOD-23676</t>
  </si>
  <si>
    <t>E-GEOD-33434</t>
  </si>
  <si>
    <t>E-GEOD-32658</t>
  </si>
  <si>
    <t>E-GEOD-25931</t>
  </si>
  <si>
    <t>E-GEOD-16658</t>
  </si>
  <si>
    <t>E-GEOD-30792</t>
  </si>
  <si>
    <t>E-GEOD-28367</t>
  </si>
  <si>
    <t>E-GEOD-28365</t>
  </si>
  <si>
    <t>E-GEOD-29774</t>
  </si>
  <si>
    <t>E-GEOD-29773</t>
  </si>
  <si>
    <t>E-GEOD-28894</t>
  </si>
  <si>
    <t>E-TABM-879</t>
  </si>
  <si>
    <t>E-GEOD-29889</t>
  </si>
  <si>
    <t>E-GEOD-20186</t>
  </si>
  <si>
    <t>E-GEOD-24378</t>
  </si>
  <si>
    <t>E-GEOD-20314</t>
  </si>
  <si>
    <t>E-GEOD-25580</t>
  </si>
  <si>
    <t>E-GEOD-24095</t>
  </si>
  <si>
    <t>E-GEOD-24598</t>
  </si>
  <si>
    <t>E-GEOD-19587</t>
  </si>
  <si>
    <t>E-TABM-724</t>
  </si>
  <si>
    <t>E-GEOD-17204</t>
  </si>
  <si>
    <t>E-GEOD-20333</t>
  </si>
  <si>
    <t>E-GEOD-20295</t>
  </si>
  <si>
    <t>E-GEOD-20292</t>
  </si>
  <si>
    <t>E-GEOD-20291</t>
  </si>
  <si>
    <t>E-GEOD-7179</t>
  </si>
  <si>
    <t>E-GEOD-7178</t>
  </si>
  <si>
    <t>E-GEOD-7177</t>
  </si>
  <si>
    <t>E-GEOD-20168</t>
  </si>
  <si>
    <t>E-GEOD-20153</t>
  </si>
  <si>
    <t>E-GEOD-20146</t>
  </si>
  <si>
    <t>E-GEOD-20141</t>
  </si>
  <si>
    <t>E-GEOD-4773</t>
  </si>
  <si>
    <t>E-GEOD-7621</t>
  </si>
  <si>
    <t>E-GEOD-7307</t>
  </si>
  <si>
    <t>E-GEOD-8397</t>
  </si>
  <si>
    <t>E-MTAB-7</t>
  </si>
  <si>
    <t>E-MEXP-1416</t>
  </si>
  <si>
    <t>E-TABM-167</t>
  </si>
  <si>
    <t>E-MEXP-18</t>
  </si>
  <si>
    <t>Identification of cis-eQTLs in six immune cell types CD4, CD8, CD14,CD15, CD19, PLA and ileal, colonic and rectal biopsies in 323 healthy European individuals (CEDAR cohort)</t>
  </si>
  <si>
    <t>Transcription profiling by array of rotenone treated olfactory cells derived from patients with Parkinson?s disease and healthy controls</t>
  </si>
  <si>
    <t>Gene expression profiling of SHSY5Y cells exposed to manganese</t>
  </si>
  <si>
    <t>Human adult white matter progenitor cells are multipotent neuroprogenitors identical  to adult hippocampal progenitors</t>
  </si>
  <si>
    <t>Derivation, characterization, and neuronal differentitation of integration-free induced pluripotent stem cell lines from Parkinsons disease patients carrying SNCA, LRRK2, PARK2, and GBA mutations</t>
  </si>
  <si>
    <t>Gene expression and SNP genotype data from induced Pluripotent Stem cells from Parkinson's Disease patients harbouring G2019S mutations in the LRRK2 gene</t>
  </si>
  <si>
    <t>Gene expression data from induced Pluripotent Stem cells from Parkinson's Disease patients harbouring G2019S mutations in the LRRK2 gene</t>
  </si>
  <si>
    <t>Microarray analysis of blood of 40 sporadic Parkinson's disease patients and 20 healthy controls</t>
  </si>
  <si>
    <t>The effect of statins on blood gene expression in COPD</t>
  </si>
  <si>
    <t>Gene expression profiles of PD fibroblasts treated by SNCA expression-control RNAi</t>
  </si>
  <si>
    <t>Human Splice Junction Arrays of Parkinson's Patients Leukocytes mRNA Pre- and Post-Deep Brain Stimulation</t>
  </si>
  <si>
    <t>Microarray analysis of dorsal motor vagal nucleus, locus coeruleus and substantia nigra from postmortem samples of idiopathic Parkinson's disease patients in Braak stages 4-5</t>
  </si>
  <si>
    <t>System-based analyses of brain regions functionally impacted in Parkinson's disease reveals underlying causal mechanisms</t>
  </si>
  <si>
    <t>Large-scale East-Asian eQTL mapping reveals novel candidate genes for LD mapping and the genomic landscape of transcriptional effects of sequence variants</t>
  </si>
  <si>
    <t>Transcriptional profiling of cerebrospinal fluid cells of multiple sclerosis patients</t>
  </si>
  <si>
    <t>Isolation of human iPSC-derived dopaminergic progenitors by cell sorting</t>
  </si>
  <si>
    <t>Involvement of endocytosis and alternative splicing in the formation of the pathological process in Parkinson's Disease</t>
  </si>
  <si>
    <t>Gene expression and genotype data from human fibroblasts and induced Pluripotent Stem cells from Parkinson's Disease patients</t>
  </si>
  <si>
    <t>Gene expression data from human fibroblasts and induced Pluripotent Stem cells from Parkinson's Disease patients</t>
  </si>
  <si>
    <t>Gene expression of A53T and corrected IPSC driven to DA neurons and exposed to paraquat and maneb</t>
  </si>
  <si>
    <t>Transcription profiling by array of human frontal cortex (area 8) from Parkinson disease cases and controls</t>
  </si>
  <si>
    <t>Phenotypic characterization of retinoic acid differentiated SH-SY5Y cells by transcriptional profiling</t>
  </si>
  <si>
    <t>Human embryonic stem cells differentiated in dopaminergic neurons</t>
  </si>
  <si>
    <t>A splice isoform signature of Parkinson?s disease in peripheral blood</t>
  </si>
  <si>
    <t>Gene expression analysis of H9 hESC derived neuron stem cells (NSC) harboring pathogenic LRRK2 (G2019S) mutation</t>
  </si>
  <si>
    <t>Gene expression analysis of human iPSC generated from pathogenic LRRK2 (G2019S) mutation bearing patients</t>
  </si>
  <si>
    <t>Transcription profiling of prefrontal cortex Brodmann area 9 samples from Parkinson disease and neurologically healthy control patients</t>
  </si>
  <si>
    <t>Transcriptome analysis of a chronic in vitro model of Parkinsonism</t>
  </si>
  <si>
    <t>Donor-dependent hepatic differentiation propensity among hiPSC lines</t>
  </si>
  <si>
    <t>aHDF- and PB-iPSC clones from the same individuals</t>
  </si>
  <si>
    <t>Transcriptomic profiling of peripheral blood mononuclear cells from patients with Parkinson?s disease and control subjects</t>
  </si>
  <si>
    <t>Expression data from advanced Parkinson's disease (PD) patients leukocytes - prior to and following deep brain stimulation (DBS) treatment in on and off stimulation conditions, and matched healthy control (HC) subjects</t>
  </si>
  <si>
    <t>The transcription factor nurr1 exerts concentration-dependent effects on target genes mediating distinct biological processes</t>
  </si>
  <si>
    <t>Midbrain floor plate dopamine neurons from human ESCs efficiently engraft in murine and primate models of PD</t>
  </si>
  <si>
    <t>Gene Expression Profiling of Human Embryonic Neural Stem Cells and Dopaminergic Neurons from Adult Human Substantia Nigra</t>
  </si>
  <si>
    <t>microRNA (miRNA) expression profiling of PBMCs of Parkinson's disease (PD) patients and controls</t>
  </si>
  <si>
    <t>Expression data from Parkison's iPSCs with four copies of SNCA, and equivalent cell lines from an unaffected first degree relative</t>
  </si>
  <si>
    <t>Expression and SNP data from fibroblasts, iPSCs and neurons with four copies of SNCA, and equivalent cell lines from an unaffected first degree relative</t>
  </si>
  <si>
    <t>Expression data from fibroblasts, iPSCs and neurons with four copies of SNCA, and equivalent cell lines from an unaffected first degree relative</t>
  </si>
  <si>
    <t>Generation of isogenic pluripotent stem cells differing exclusively at two early onset Parkinson point mutations</t>
  </si>
  <si>
    <t>Gene Expression Data for Generation of isogenic pluripotent stem cells differing exclusively at two early onset Parkinson point mutations</t>
  </si>
  <si>
    <t>Gene expression changes across multiple regions of the Parkinson?s disease brain</t>
  </si>
  <si>
    <t>Transcriptional profiling of human olfactory neurosphere-derived cell lines from healthy and idiopathic Parkinsons disease individuals</t>
  </si>
  <si>
    <t>Gene expression of a variety of Huh-7 derived hepatoma cells and their susceptibility to infection by JHF1 HCV in the HCV cell culture system</t>
  </si>
  <si>
    <t>Systematic meta-analysis and replication of genome-wide expression studies of Parkinson's disease</t>
  </si>
  <si>
    <t>Systematic meta-analysis and replication of genome-wide expression studies identifies molecular pathways of Parkinson?s disease</t>
  </si>
  <si>
    <t>Systematic meta-analysis and replication of genome-wide expression studies of Parkinson?s disease: 4</t>
  </si>
  <si>
    <t>Examination of impact of pathogenic mutations in LRRK2 upon gene expression in patient fibroblasts and HEK cells</t>
  </si>
  <si>
    <t>Human postmortem hippocampus: Major depressive disorder  (MDD) vs. Control</t>
  </si>
  <si>
    <t>The human nose harbours a niche of olfactory ecto-mesenchymal stem cells displaying neurogenic and osteogenic properties</t>
  </si>
  <si>
    <t>Imaging-guided microarray: Identifies molecular markers in the pathogenesis of Parkinson?s disease</t>
  </si>
  <si>
    <t>Transcription profiling of neurosphere-derived cell lines from patients with brain disorders</t>
  </si>
  <si>
    <t>Transcription profiling by array of human neuroblastoma cells transfected with RNAi against DJ-1</t>
  </si>
  <si>
    <t>Gene expression profiling of parkinsonian substantia nigra</t>
  </si>
  <si>
    <t>Transcriptional analysis of multiple brain regions in Parkinson's disease</t>
  </si>
  <si>
    <t>Transcriptional analysis of whole substantia nigra in Parkinson's disease</t>
  </si>
  <si>
    <t>Transcriptional analysis of putamen in Parkinson's disease</t>
  </si>
  <si>
    <t>Comparison of gene expression data between wild-type and DM1-affected undifferentiated hES cells</t>
  </si>
  <si>
    <t>Comparison of gene expression data between wild-type and DM1-affected Neural Precursors Cells (NPC)</t>
  </si>
  <si>
    <t>Comparison of gene expression data between wild-type and DM1-affected Mesodermal Precursors Cells (MPC)</t>
  </si>
  <si>
    <t>Transcriptional analysis of prefrontal area 9 in Parkinson's disease</t>
  </si>
  <si>
    <t>Expression analysis of lymphoblast cells lines in Parkinson's disease</t>
  </si>
  <si>
    <t>Expression analysis of dissected Globus Pallidus interna in Parkinson's disease</t>
  </si>
  <si>
    <t>Expression analysis of laser-dissected SNpc neurons in Parkinson's disease</t>
  </si>
  <si>
    <t>Transcription profiling by array of the human SK-H-MC Parkinson's disease cell line after treatment with rotenone</t>
  </si>
  <si>
    <t>Transcription profiling by array of human substantia nigra from patients with Parkinson's disease</t>
  </si>
  <si>
    <t>Transcription profiling by array of human samples with various different diseases</t>
  </si>
  <si>
    <t>Transcription profiling of human Parkinsons medial and substania nigra</t>
  </si>
  <si>
    <t>Transcription profiling of 51 human breast cancer cell lines</t>
  </si>
  <si>
    <t>Transcription profiling of melanized domamine neurons isolated from male and female patients with Parkinson disease to investigate gender differences</t>
  </si>
  <si>
    <t>Transcription profiling of high and low grade gliomas from human patients to identify new diagnostic and prognostic markers</t>
  </si>
  <si>
    <t>Transcription profiling of human cell lines and tissues (Novartis/GNF)</t>
  </si>
  <si>
    <t>Duplicate Study (GEO)</t>
  </si>
  <si>
    <t>Not Expression Profiling</t>
  </si>
  <si>
    <t>Cell-Line or Other Disease Model</t>
  </si>
  <si>
    <t>Not Brain Tissue</t>
  </si>
  <si>
    <t>Not Disease in Question</t>
  </si>
  <si>
    <t>Yes</t>
  </si>
  <si>
    <t>A-GEOD-8444</t>
  </si>
  <si>
    <t>Middle Temporal Gyrus</t>
  </si>
  <si>
    <t>MTG</t>
  </si>
  <si>
    <t>Affymetrix GeneChip Human HJAY Array 17K</t>
  </si>
  <si>
    <t>Total RNA Extraction</t>
  </si>
  <si>
    <t>Reanalysis</t>
  </si>
  <si>
    <t>A-AFFY-44</t>
  </si>
  <si>
    <t>Medial Temporal Lobe</t>
  </si>
  <si>
    <t>Affymetrix GeneChip Human Genome U133 Plus 2.0 [HG-U133_Plus_2]</t>
  </si>
  <si>
    <t>A-AFFY-168</t>
  </si>
  <si>
    <t>Frontal Cortex</t>
  </si>
  <si>
    <t>FC</t>
  </si>
  <si>
    <t>Affymetrix GeneChip Human Gene 1.1 ST Array [HuGene-1_1-st-v1]</t>
  </si>
  <si>
    <t>A-AGIL-28</t>
  </si>
  <si>
    <t>Prefrontal Cortex</t>
  </si>
  <si>
    <t>PFC</t>
  </si>
  <si>
    <t>Agilent Whole Human Genome Microarray 4x44K 014850 G4112F (85 cols x 532 rows)</t>
  </si>
  <si>
    <t>A-MEXP-1125</t>
  </si>
  <si>
    <t>Spinal Cord</t>
  </si>
  <si>
    <t>SC</t>
  </si>
  <si>
    <t>Agilent Whole Human Genome Microarray 4x44K 014850 G4112F (266 cols x 170 rows)</t>
  </si>
  <si>
    <t>A-GEOD-22844</t>
  </si>
  <si>
    <t>Frontal Cortex in Sporadic FTD</t>
  </si>
  <si>
    <t>SPD_FC</t>
  </si>
  <si>
    <t>C9_FC</t>
  </si>
  <si>
    <t>Frontal Cortex in C9ORF72 Mutation Carrier</t>
  </si>
  <si>
    <t>[Clariom_D_Human] Affymetrix human Clariom_D_Human Array [transcript (gene) version]</t>
  </si>
  <si>
    <t>Motor Cortex</t>
  </si>
  <si>
    <t>MC</t>
  </si>
  <si>
    <t>A-MEXP-2246</t>
  </si>
  <si>
    <t>Motor Cortex in C9ORF72 Mutation Carriers</t>
  </si>
  <si>
    <t>Affymetrix GeneChip Human Exon 1.0 ST Array version 2, [HuEx-1_0-st-v2]</t>
  </si>
  <si>
    <t>Not Human</t>
  </si>
  <si>
    <t>Medial Temporal Gyrus in Sporadic FTLD-TDP</t>
  </si>
  <si>
    <t>Medial Temporal Gyrus in PGRN Mutation Carrier</t>
  </si>
  <si>
    <t>Medial Temporal Gyrus in MAPT Mutation Carrier</t>
  </si>
  <si>
    <t>SPD_MTG</t>
  </si>
  <si>
    <t>PGRN_MTG</t>
  </si>
  <si>
    <t>MAPT_MTG</t>
  </si>
  <si>
    <t>GEO Accession #</t>
  </si>
  <si>
    <t>ALZHEIMER'S DISEASE</t>
  </si>
  <si>
    <t>AMYOTROPHIC LATERAL SCLEROSIS AND FRONTOTEMPORAL DEMENTIA</t>
  </si>
  <si>
    <t>Total Datasets</t>
  </si>
  <si>
    <t>Search on July 1, 2020.</t>
  </si>
  <si>
    <t>Lewy Body Diseases</t>
  </si>
  <si>
    <t>Lewy Body Diseases Datasets</t>
  </si>
  <si>
    <t>LEWY BODY DISEASES</t>
  </si>
  <si>
    <t>3. Not Human</t>
  </si>
  <si>
    <t>4. Not Expression Profiling</t>
  </si>
  <si>
    <t>5. Not Brain Tissue</t>
  </si>
  <si>
    <t>6. Not Case-Control</t>
  </si>
  <si>
    <t>7. Not Disease in Question (AD/LBD/ALS)</t>
  </si>
  <si>
    <t>8. Patient-Derived Cell-Line or Disease Model</t>
  </si>
  <si>
    <t>Exclusion Criteria</t>
  </si>
  <si>
    <t>DATASET COUNT</t>
  </si>
  <si>
    <t>Alzheimer's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</si>
</sst>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8"/>
      <color theme="0"/>
      <name val="Tahoma"/>
      <family val="2"/>
    </font>
    <font>
      <sz val="10"/>
      <color theme="1"/>
      <name val="Tahoma"/>
      <family val="2"/>
    </font>
    <font>
      <b/>
      <sz val="12"/>
      <color theme="0"/>
      <name val="Tahoma"/>
      <family val="2"/>
    </font>
    <font>
      <b/>
      <sz val="11"/>
      <color theme="1"/>
      <name val="Tahoma"/>
      <family val="2"/>
    </font>
    <font>
      <b/>
      <sz val="16"/>
      <color theme="0"/>
      <name val="Tahoma"/>
      <family val="2"/>
    </font>
    <font>
      <b/>
      <sz val="9"/>
      <color theme="0"/>
      <name val="Tahoma"/>
      <family val="2"/>
    </font>
    <font>
      <sz val="9"/>
      <color theme="1"/>
      <name val="Tahoma"/>
      <family val="2"/>
    </font>
    <font>
      <b/>
      <sz val="14"/>
      <color theme="0"/>
      <name val="Tahoma"/>
      <family val="2"/>
    </font>
    <font>
      <sz val="12"/>
      <color theme="1"/>
      <name val="Tahoma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Tahoma"/>
      <family val="2"/>
    </font>
    <font>
      <b/>
      <sz val="12"/>
      <color theme="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9200"/>
        <bgColor indexed="64"/>
      </patternFill>
    </fill>
    <fill>
      <patternFill patternType="solid">
        <fgColor rgb="FFA6B72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4" fontId="4" fillId="5" borderId="11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 wrapText="1"/>
    </xf>
    <xf numFmtId="14" fontId="2" fillId="4" borderId="8" xfId="0" applyNumberFormat="1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14" fontId="2" fillId="2" borderId="8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14" fontId="2" fillId="3" borderId="8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14" fontId="1" fillId="0" borderId="21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9" borderId="26" xfId="0" applyFont="1" applyFill="1" applyBorder="1" applyAlignment="1">
      <alignment vertical="center"/>
    </xf>
    <xf numFmtId="0" fontId="2" fillId="9" borderId="26" xfId="0" applyFont="1" applyFill="1" applyBorder="1" applyAlignment="1">
      <alignment vertical="center" wrapText="1"/>
    </xf>
    <xf numFmtId="14" fontId="2" fillId="9" borderId="26" xfId="0" applyNumberFormat="1" applyFont="1" applyFill="1" applyBorder="1" applyAlignment="1">
      <alignment vertical="center"/>
    </xf>
    <xf numFmtId="0" fontId="5" fillId="10" borderId="8" xfId="0" applyFont="1" applyFill="1" applyBorder="1" applyAlignment="1">
      <alignment vertical="center"/>
    </xf>
    <xf numFmtId="0" fontId="12" fillId="0" borderId="29" xfId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2" fillId="0" borderId="20" xfId="1" applyFont="1" applyBorder="1" applyAlignment="1">
      <alignment horizontal="left" vertical="center"/>
    </xf>
    <xf numFmtId="0" fontId="7" fillId="9" borderId="26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0" borderId="3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14" fontId="1" fillId="0" borderId="32" xfId="0" applyNumberFormat="1" applyFont="1" applyBorder="1" applyAlignment="1">
      <alignment horizontal="center" vertical="center"/>
    </xf>
    <xf numFmtId="0" fontId="12" fillId="0" borderId="33" xfId="1" applyFont="1" applyBorder="1" applyAlignment="1">
      <alignment horizontal="left" vertical="center"/>
    </xf>
    <xf numFmtId="0" fontId="1" fillId="11" borderId="21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 wrapText="1"/>
    </xf>
    <xf numFmtId="14" fontId="1" fillId="11" borderId="2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vertical="center"/>
    </xf>
    <xf numFmtId="0" fontId="6" fillId="13" borderId="5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left" vertical="center"/>
    </xf>
    <xf numFmtId="0" fontId="9" fillId="5" borderId="18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22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24" xfId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12" fillId="0" borderId="30" xfId="1" applyFont="1" applyBorder="1" applyAlignment="1">
      <alignment horizontal="left" vertical="center"/>
    </xf>
    <xf numFmtId="0" fontId="12" fillId="0" borderId="31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14" borderId="35" xfId="0" applyFont="1" applyFill="1" applyBorder="1" applyAlignment="1">
      <alignment horizontal="left" vertical="center"/>
    </xf>
    <xf numFmtId="0" fontId="10" fillId="14" borderId="21" xfId="0" applyFont="1" applyFill="1" applyBorder="1" applyAlignment="1">
      <alignment horizontal="left" vertical="center"/>
    </xf>
    <xf numFmtId="0" fontId="10" fillId="15" borderId="35" xfId="0" applyFont="1" applyFill="1" applyBorder="1" applyAlignment="1">
      <alignment horizontal="left" vertical="center"/>
    </xf>
    <xf numFmtId="0" fontId="10" fillId="15" borderId="21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10" fillId="15" borderId="5" xfId="0" applyFont="1" applyFill="1" applyBorder="1" applyAlignment="1">
      <alignment horizontal="left" vertical="center"/>
    </xf>
    <xf numFmtId="0" fontId="10" fillId="15" borderId="16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Test Table" pivot="0" count="0" xr9:uid="{34C6CDB2-69FA-4112-ABEF-F0B78E520ACD}"/>
  </tableStyles>
  <colors>
    <mruColors>
      <color rgb="FFA6B727"/>
      <color rgb="FFF69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Research Palette - Hyperlink #2">
      <a:dk1>
        <a:sysClr val="windowText" lastClr="000000"/>
      </a:dk1>
      <a:lt1>
        <a:sysClr val="window" lastClr="FFFFFF"/>
      </a:lt1>
      <a:dk2>
        <a:srgbClr val="5E5E5E"/>
      </a:dk2>
      <a:lt2>
        <a:srgbClr val="E7E6E6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660066"/>
      </a:accent6>
      <a:hlink>
        <a:srgbClr val="418AB3"/>
      </a:hlink>
      <a:folHlink>
        <a:srgbClr val="418A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1521-E7B3-4BEB-A7FA-4973D7D3F519}">
  <dimension ref="B1:G18"/>
  <sheetViews>
    <sheetView tabSelected="1" zoomScale="75" zoomScaleNormal="75" workbookViewId="0"/>
  </sheetViews>
  <sheetFormatPr defaultRowHeight="20" customHeight="1" x14ac:dyDescent="0.45"/>
  <cols>
    <col min="1" max="1" width="1.33203125" style="1" customWidth="1"/>
    <col min="2" max="2" width="30.59765625" style="1" customWidth="1"/>
    <col min="3" max="3" width="24.59765625" style="1" customWidth="1"/>
    <col min="4" max="6" width="20.59765625" style="1" customWidth="1"/>
    <col min="7" max="7" width="16.59765625" style="1" customWidth="1"/>
    <col min="8" max="16384" width="9.06640625" style="1"/>
  </cols>
  <sheetData>
    <row r="1" spans="2:7" ht="7.15" customHeight="1" thickBot="1" x14ac:dyDescent="0.5"/>
    <row r="2" spans="2:7" ht="20" customHeight="1" x14ac:dyDescent="0.45">
      <c r="B2" s="93" t="s">
        <v>19</v>
      </c>
      <c r="C2" s="94"/>
      <c r="D2" s="94"/>
      <c r="E2" s="94"/>
      <c r="F2" s="94"/>
      <c r="G2" s="95"/>
    </row>
    <row r="3" spans="2:7" ht="60" customHeight="1" x14ac:dyDescent="0.45">
      <c r="B3" s="76" t="s">
        <v>521</v>
      </c>
      <c r="C3" s="98" t="s">
        <v>23</v>
      </c>
      <c r="D3" s="98"/>
      <c r="E3" s="98"/>
      <c r="F3" s="98"/>
      <c r="G3" s="122" t="s">
        <v>26</v>
      </c>
    </row>
    <row r="4" spans="2:7" ht="60" customHeight="1" x14ac:dyDescent="0.45">
      <c r="B4" s="7" t="s">
        <v>510</v>
      </c>
      <c r="C4" s="98" t="s">
        <v>21</v>
      </c>
      <c r="D4" s="98"/>
      <c r="E4" s="98"/>
      <c r="F4" s="98"/>
      <c r="G4" s="122" t="s">
        <v>25</v>
      </c>
    </row>
    <row r="5" spans="2:7" ht="60" customHeight="1" thickBot="1" x14ac:dyDescent="0.5">
      <c r="B5" s="77" t="s">
        <v>0</v>
      </c>
      <c r="C5" s="99" t="s">
        <v>22</v>
      </c>
      <c r="D5" s="99"/>
      <c r="E5" s="99"/>
      <c r="F5" s="99"/>
      <c r="G5" s="123" t="s">
        <v>24</v>
      </c>
    </row>
    <row r="6" spans="2:7" ht="20" customHeight="1" thickBot="1" x14ac:dyDescent="0.5"/>
    <row r="7" spans="2:7" ht="25.15" customHeight="1" x14ac:dyDescent="0.45">
      <c r="B7" s="96" t="s">
        <v>519</v>
      </c>
      <c r="C7" s="97"/>
      <c r="D7" s="20" t="s">
        <v>17</v>
      </c>
      <c r="E7" s="21" t="s">
        <v>18</v>
      </c>
      <c r="F7" s="22" t="s">
        <v>0</v>
      </c>
    </row>
    <row r="8" spans="2:7" ht="20" customHeight="1" x14ac:dyDescent="0.45">
      <c r="B8" s="124" t="s">
        <v>4</v>
      </c>
      <c r="C8" s="125"/>
      <c r="D8" s="23">
        <v>62</v>
      </c>
      <c r="E8" s="24">
        <v>71</v>
      </c>
      <c r="F8" s="25">
        <v>40</v>
      </c>
    </row>
    <row r="9" spans="2:7" ht="20" customHeight="1" x14ac:dyDescent="0.45">
      <c r="B9" s="126" t="s">
        <v>15</v>
      </c>
      <c r="C9" s="127"/>
      <c r="D9" s="23">
        <v>3</v>
      </c>
      <c r="E9" s="24">
        <v>3</v>
      </c>
      <c r="F9" s="25">
        <v>3</v>
      </c>
    </row>
    <row r="10" spans="2:7" ht="20" customHeight="1" x14ac:dyDescent="0.45">
      <c r="B10" s="126" t="s">
        <v>513</v>
      </c>
      <c r="C10" s="127"/>
      <c r="D10" s="23">
        <v>0</v>
      </c>
      <c r="E10" s="24">
        <v>0</v>
      </c>
      <c r="F10" s="25">
        <v>2</v>
      </c>
    </row>
    <row r="11" spans="2:7" ht="20" customHeight="1" x14ac:dyDescent="0.45">
      <c r="B11" s="126" t="s">
        <v>514</v>
      </c>
      <c r="C11" s="127"/>
      <c r="D11" s="23">
        <v>1</v>
      </c>
      <c r="E11" s="24">
        <v>0</v>
      </c>
      <c r="F11" s="25">
        <v>0</v>
      </c>
    </row>
    <row r="12" spans="2:7" ht="20" customHeight="1" x14ac:dyDescent="0.45">
      <c r="B12" s="128" t="s">
        <v>515</v>
      </c>
      <c r="C12" s="129"/>
      <c r="D12" s="23">
        <v>1</v>
      </c>
      <c r="E12" s="24">
        <v>2</v>
      </c>
      <c r="F12" s="25">
        <v>6</v>
      </c>
    </row>
    <row r="13" spans="2:7" ht="20" customHeight="1" x14ac:dyDescent="0.45">
      <c r="B13" s="128" t="s">
        <v>516</v>
      </c>
      <c r="C13" s="129"/>
      <c r="D13" s="23">
        <v>0</v>
      </c>
      <c r="E13" s="24">
        <v>0</v>
      </c>
      <c r="F13" s="25">
        <v>0</v>
      </c>
    </row>
    <row r="14" spans="2:7" ht="20" customHeight="1" x14ac:dyDescent="0.45">
      <c r="B14" s="128" t="s">
        <v>517</v>
      </c>
      <c r="C14" s="129"/>
      <c r="D14" s="23">
        <v>1</v>
      </c>
      <c r="E14" s="24">
        <v>7</v>
      </c>
      <c r="F14" s="25">
        <v>13</v>
      </c>
    </row>
    <row r="15" spans="2:7" ht="20" customHeight="1" thickBot="1" x14ac:dyDescent="0.5">
      <c r="B15" s="130" t="s">
        <v>518</v>
      </c>
      <c r="C15" s="131"/>
      <c r="D15" s="26">
        <v>6</v>
      </c>
      <c r="E15" s="27">
        <v>3</v>
      </c>
      <c r="F15" s="28">
        <v>4</v>
      </c>
    </row>
    <row r="16" spans="2:7" ht="20" customHeight="1" x14ac:dyDescent="0.45">
      <c r="B16" s="29"/>
      <c r="C16" s="91" t="s">
        <v>520</v>
      </c>
      <c r="D16" s="91">
        <f>76-SUM(D8:D15)</f>
        <v>2</v>
      </c>
      <c r="E16" s="91">
        <f>88-SUM(E8:E15)</f>
        <v>2</v>
      </c>
      <c r="F16" s="91">
        <f>74-SUM(F8:F15)</f>
        <v>6</v>
      </c>
    </row>
    <row r="18" spans="2:2" ht="20" customHeight="1" x14ac:dyDescent="0.45">
      <c r="B18" s="132" t="s">
        <v>509</v>
      </c>
    </row>
  </sheetData>
  <mergeCells count="13">
    <mergeCell ref="B12:C12"/>
    <mergeCell ref="B13:C13"/>
    <mergeCell ref="B14:C14"/>
    <mergeCell ref="B15:C15"/>
    <mergeCell ref="B2:G2"/>
    <mergeCell ref="B7:C7"/>
    <mergeCell ref="C3:F3"/>
    <mergeCell ref="C4:F4"/>
    <mergeCell ref="C5:F5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zoomScale="75" zoomScaleNormal="75" workbookViewId="0">
      <pane ySplit="2" topLeftCell="A3" activePane="bottomLeft" state="frozen"/>
      <selection pane="bottomLeft"/>
    </sheetView>
  </sheetViews>
  <sheetFormatPr defaultRowHeight="13.5" x14ac:dyDescent="0.45"/>
  <cols>
    <col min="1" max="1" width="6.9296875" style="80" customWidth="1"/>
    <col min="2" max="2" width="20.3984375" style="81" customWidth="1"/>
    <col min="3" max="3" width="14" style="2" customWidth="1"/>
    <col min="4" max="4" width="46.1328125" style="2" customWidth="1"/>
    <col min="5" max="5" width="30.59765625" style="4" customWidth="1"/>
    <col min="6" max="6" width="15.59765625" style="2" customWidth="1"/>
    <col min="7" max="7" width="23.59765625" style="6" customWidth="1"/>
    <col min="8" max="8" width="9.59765625" style="6" customWidth="1"/>
    <col min="9" max="10" width="12.59765625" style="2" customWidth="1"/>
    <col min="11" max="11" width="13.59765625" style="5" customWidth="1"/>
    <col min="12" max="12" width="31.86328125" style="6" customWidth="1"/>
    <col min="13" max="13" width="26.6640625" style="6" customWidth="1"/>
    <col min="14" max="14" width="150.1328125" style="19" bestFit="1" customWidth="1"/>
    <col min="15" max="16384" width="9.06640625" style="3"/>
  </cols>
  <sheetData>
    <row r="1" spans="1:17" s="13" customFormat="1" ht="25.9" customHeight="1" thickBot="1" x14ac:dyDescent="0.5">
      <c r="A1" s="13" t="s">
        <v>2</v>
      </c>
      <c r="E1" s="14"/>
      <c r="G1" s="14"/>
      <c r="H1" s="14"/>
      <c r="K1" s="15"/>
      <c r="L1" s="14"/>
      <c r="M1" s="14"/>
      <c r="N1" s="18"/>
    </row>
    <row r="2" spans="1:17" s="12" customFormat="1" ht="20.350000000000001" customHeight="1" x14ac:dyDescent="0.45">
      <c r="A2" s="8" t="s">
        <v>16</v>
      </c>
      <c r="B2" s="8" t="s">
        <v>20</v>
      </c>
      <c r="C2" s="9" t="s">
        <v>1</v>
      </c>
      <c r="D2" s="8" t="s">
        <v>3</v>
      </c>
      <c r="E2" s="10" t="s">
        <v>12</v>
      </c>
      <c r="F2" s="9" t="s">
        <v>8</v>
      </c>
      <c r="G2" s="10" t="s">
        <v>5</v>
      </c>
      <c r="H2" s="10" t="s">
        <v>13</v>
      </c>
      <c r="I2" s="9" t="s">
        <v>7</v>
      </c>
      <c r="J2" s="9" t="s">
        <v>6</v>
      </c>
      <c r="K2" s="11" t="s">
        <v>14</v>
      </c>
      <c r="L2" s="10" t="s">
        <v>9</v>
      </c>
      <c r="M2" s="10" t="s">
        <v>10</v>
      </c>
      <c r="N2" s="16" t="s">
        <v>11</v>
      </c>
      <c r="O2" s="17"/>
      <c r="P2" s="17"/>
      <c r="Q2" s="17"/>
    </row>
    <row r="3" spans="1:17" s="39" customFormat="1" ht="13.5" customHeight="1" x14ac:dyDescent="0.45">
      <c r="A3" s="80">
        <v>1</v>
      </c>
      <c r="B3" s="81" t="s">
        <v>28</v>
      </c>
      <c r="C3" s="40" t="s">
        <v>180</v>
      </c>
      <c r="D3" s="40" t="s">
        <v>462</v>
      </c>
      <c r="E3" s="41" t="s">
        <v>104</v>
      </c>
      <c r="F3" s="68"/>
      <c r="G3" s="69"/>
      <c r="H3" s="69"/>
      <c r="I3" s="68"/>
      <c r="J3" s="68"/>
      <c r="K3" s="70"/>
      <c r="L3" s="69"/>
      <c r="M3" s="69"/>
      <c r="N3" s="56" t="str">
        <f>HYPERLINK(_xlfn.CONCAT("https://www.ebi.ac.uk/arrayexpress/experiments/",B3), _xlfn.CONCAT(B3, ": ", E3))</f>
        <v>E-MTAB-7852: Cultures of hiPS cells and their differentiation into neuronal cells</v>
      </c>
    </row>
    <row r="4" spans="1:17" s="39" customFormat="1" ht="13.5" customHeight="1" x14ac:dyDescent="0.45">
      <c r="A4" s="80">
        <v>2</v>
      </c>
      <c r="B4" s="81" t="s">
        <v>29</v>
      </c>
      <c r="C4" s="40" t="s">
        <v>180</v>
      </c>
      <c r="D4" s="40" t="s">
        <v>461</v>
      </c>
      <c r="E4" s="41" t="s">
        <v>105</v>
      </c>
      <c r="F4" s="68"/>
      <c r="G4" s="69"/>
      <c r="H4" s="69"/>
      <c r="I4" s="68"/>
      <c r="J4" s="68"/>
      <c r="K4" s="70"/>
      <c r="L4" s="69"/>
      <c r="M4" s="69"/>
      <c r="N4" s="56" t="str">
        <f t="shared" ref="N4:N67" si="0">HYPERLINK(_xlfn.CONCAT("https://www.ebi.ac.uk/arrayexpress/experiments/",B4), _xlfn.CONCAT(B4, ": ", E4))</f>
        <v>E-MTAB-8283: miRNA PCR Array of cortex tissue from Alzheimer disease (AD), high pathological control (HPC) and normal (CTL)subjects</v>
      </c>
    </row>
    <row r="5" spans="1:17" s="39" customFormat="1" ht="13.5" customHeight="1" x14ac:dyDescent="0.45">
      <c r="A5" s="80">
        <v>3</v>
      </c>
      <c r="B5" s="81" t="s">
        <v>30</v>
      </c>
      <c r="C5" s="40" t="s">
        <v>180</v>
      </c>
      <c r="D5" s="40" t="s">
        <v>463</v>
      </c>
      <c r="E5" s="41" t="s">
        <v>106</v>
      </c>
      <c r="F5" s="68"/>
      <c r="G5" s="69"/>
      <c r="H5" s="69"/>
      <c r="I5" s="68"/>
      <c r="J5" s="68"/>
      <c r="K5" s="70"/>
      <c r="L5" s="69"/>
      <c r="M5" s="69"/>
      <c r="N5" s="56" t="str">
        <f t="shared" si="0"/>
        <v>E-MTAB-6094: Whole genome transcriptional analysis of Alzheimer's disease patients compared with age-matched non-demented controls</v>
      </c>
    </row>
    <row r="6" spans="1:17" s="39" customFormat="1" ht="13.5" customHeight="1" x14ac:dyDescent="0.45">
      <c r="A6" s="80">
        <v>4</v>
      </c>
      <c r="B6" s="81" t="s">
        <v>31</v>
      </c>
      <c r="C6" s="40" t="s">
        <v>180</v>
      </c>
      <c r="D6" s="40" t="s">
        <v>460</v>
      </c>
      <c r="E6" s="41" t="s">
        <v>107</v>
      </c>
      <c r="F6" s="68"/>
      <c r="G6" s="69"/>
      <c r="H6" s="69"/>
      <c r="I6" s="68"/>
      <c r="J6" s="68"/>
      <c r="K6" s="70"/>
      <c r="L6" s="69"/>
      <c r="M6" s="69"/>
      <c r="N6" s="56" t="str">
        <f t="shared" si="0"/>
        <v>E-GEOD-84422: Molecular Signatures Underlying Selective Regional Vulnerability to Alzheimer's Disease</v>
      </c>
    </row>
    <row r="7" spans="1:17" s="39" customFormat="1" ht="13.5" customHeight="1" x14ac:dyDescent="0.45">
      <c r="A7" s="80">
        <v>5</v>
      </c>
      <c r="B7" s="81" t="s">
        <v>32</v>
      </c>
      <c r="C7" s="40" t="s">
        <v>180</v>
      </c>
      <c r="D7" s="40" t="s">
        <v>460</v>
      </c>
      <c r="E7" s="41" t="s">
        <v>108</v>
      </c>
      <c r="F7" s="68"/>
      <c r="G7" s="69"/>
      <c r="H7" s="69"/>
      <c r="I7" s="68"/>
      <c r="J7" s="68"/>
      <c r="K7" s="70"/>
      <c r="L7" s="69"/>
      <c r="M7" s="69"/>
      <c r="N7" s="56" t="str">
        <f t="shared" si="0"/>
        <v>E-GEOD-85426: Peripheral blood gene expression as a biomarker for early detection of Alzheimer?s disease</v>
      </c>
    </row>
    <row r="8" spans="1:17" s="39" customFormat="1" ht="13.5" customHeight="1" x14ac:dyDescent="0.45">
      <c r="A8" s="80">
        <v>6</v>
      </c>
      <c r="B8" s="81" t="s">
        <v>33</v>
      </c>
      <c r="C8" s="40" t="s">
        <v>180</v>
      </c>
      <c r="D8" s="40" t="s">
        <v>460</v>
      </c>
      <c r="E8" s="41" t="s">
        <v>109</v>
      </c>
      <c r="F8" s="68"/>
      <c r="G8" s="69"/>
      <c r="H8" s="69"/>
      <c r="I8" s="68"/>
      <c r="J8" s="68"/>
      <c r="K8" s="70"/>
      <c r="L8" s="69"/>
      <c r="M8" s="69"/>
      <c r="N8" s="56" t="str">
        <f t="shared" si="0"/>
        <v>E-GEOD-77668: Expression mRNA and miRNA data from human postmortem putamen samples measured using the NanoString nCounter platform</v>
      </c>
    </row>
    <row r="9" spans="1:17" s="39" customFormat="1" ht="13.5" customHeight="1" x14ac:dyDescent="0.45">
      <c r="A9" s="80">
        <v>7</v>
      </c>
      <c r="B9" s="81" t="s">
        <v>34</v>
      </c>
      <c r="C9" s="40" t="s">
        <v>180</v>
      </c>
      <c r="D9" s="40" t="s">
        <v>181</v>
      </c>
      <c r="E9" s="41" t="s">
        <v>110</v>
      </c>
      <c r="F9" s="68"/>
      <c r="G9" s="69"/>
      <c r="H9" s="69"/>
      <c r="I9" s="68"/>
      <c r="J9" s="68"/>
      <c r="K9" s="70"/>
      <c r="L9" s="69"/>
      <c r="M9" s="69"/>
      <c r="N9" s="56" t="str">
        <f t="shared" si="0"/>
        <v>E-GEOD-77667: Expression miRNA data from human postmortem putamen samples measured using the NanoString nCounter platform</v>
      </c>
    </row>
    <row r="10" spans="1:17" s="39" customFormat="1" ht="13.5" customHeight="1" x14ac:dyDescent="0.45">
      <c r="A10" s="80">
        <v>8</v>
      </c>
      <c r="B10" s="81" t="s">
        <v>35</v>
      </c>
      <c r="C10" s="40" t="s">
        <v>180</v>
      </c>
      <c r="D10" s="40" t="s">
        <v>460</v>
      </c>
      <c r="E10" s="41" t="s">
        <v>111</v>
      </c>
      <c r="F10" s="68"/>
      <c r="G10" s="69"/>
      <c r="H10" s="69"/>
      <c r="I10" s="68"/>
      <c r="J10" s="68"/>
      <c r="K10" s="70"/>
      <c r="L10" s="69"/>
      <c r="M10" s="69"/>
      <c r="N10" s="56" t="str">
        <f t="shared" si="0"/>
        <v>E-GEOD-77666: Expression mRNA data from human postmortem putamen samples measured using the NanoString nCounter platform</v>
      </c>
    </row>
    <row r="11" spans="1:17" s="39" customFormat="1" ht="13.5" customHeight="1" x14ac:dyDescent="0.45">
      <c r="A11" s="80">
        <v>9</v>
      </c>
      <c r="B11" s="81" t="s">
        <v>36</v>
      </c>
      <c r="C11" s="40" t="s">
        <v>180</v>
      </c>
      <c r="D11" s="40" t="s">
        <v>460</v>
      </c>
      <c r="E11" s="41" t="s">
        <v>112</v>
      </c>
      <c r="F11" s="68"/>
      <c r="G11" s="69"/>
      <c r="H11" s="69"/>
      <c r="I11" s="68"/>
      <c r="J11" s="68"/>
      <c r="K11" s="70"/>
      <c r="L11" s="69"/>
      <c r="M11" s="69"/>
      <c r="N11" s="56" t="str">
        <f t="shared" si="0"/>
        <v>E-GEOD-31163: Human induced pluripotent stem cells derived from a sporadic Alzheimer's disease patient</v>
      </c>
    </row>
    <row r="12" spans="1:17" s="39" customFormat="1" ht="13.5" customHeight="1" x14ac:dyDescent="0.45">
      <c r="A12" s="80">
        <v>10</v>
      </c>
      <c r="B12" s="81" t="s">
        <v>37</v>
      </c>
      <c r="C12" s="40" t="s">
        <v>180</v>
      </c>
      <c r="D12" s="40" t="s">
        <v>460</v>
      </c>
      <c r="E12" s="41" t="s">
        <v>113</v>
      </c>
      <c r="F12" s="68"/>
      <c r="G12" s="69"/>
      <c r="H12" s="69"/>
      <c r="I12" s="68"/>
      <c r="J12" s="68"/>
      <c r="K12" s="70"/>
      <c r="L12" s="69"/>
      <c r="M12" s="69"/>
      <c r="N12" s="56" t="str">
        <f t="shared" si="0"/>
        <v>E-GEOD-63063: Alzheimer, Mild Cognitive impairment and control samples from AddneuroMed Cohort</v>
      </c>
    </row>
    <row r="13" spans="1:17" s="39" customFormat="1" ht="13.5" customHeight="1" x14ac:dyDescent="0.45">
      <c r="A13" s="80">
        <v>11</v>
      </c>
      <c r="B13" s="81" t="s">
        <v>38</v>
      </c>
      <c r="C13" s="40" t="s">
        <v>180</v>
      </c>
      <c r="D13" s="40" t="s">
        <v>460</v>
      </c>
      <c r="E13" s="41" t="s">
        <v>114</v>
      </c>
      <c r="F13" s="68"/>
      <c r="G13" s="69"/>
      <c r="H13" s="69"/>
      <c r="I13" s="68"/>
      <c r="J13" s="68"/>
      <c r="K13" s="70"/>
      <c r="L13" s="69"/>
      <c r="M13" s="69"/>
      <c r="N13" s="56" t="str">
        <f t="shared" si="0"/>
        <v>E-GEOD-63061: Alzheimer, Mild Cognitive impairment and control samples from AddneuroMed Cohort (batch 2)</v>
      </c>
    </row>
    <row r="14" spans="1:17" s="39" customFormat="1" ht="13.5" customHeight="1" x14ac:dyDescent="0.45">
      <c r="A14" s="80">
        <v>12</v>
      </c>
      <c r="B14" s="81" t="s">
        <v>39</v>
      </c>
      <c r="C14" s="40" t="s">
        <v>180</v>
      </c>
      <c r="D14" s="40" t="s">
        <v>460</v>
      </c>
      <c r="E14" s="41" t="s">
        <v>115</v>
      </c>
      <c r="F14" s="68"/>
      <c r="G14" s="69"/>
      <c r="H14" s="69"/>
      <c r="I14" s="68"/>
      <c r="J14" s="68"/>
      <c r="K14" s="70"/>
      <c r="L14" s="69"/>
      <c r="M14" s="69"/>
      <c r="N14" s="56" t="str">
        <f t="shared" si="0"/>
        <v>E-GEOD-63060: Alzheimer, MCI and control samples from AddneuroMed Cohort (batch 1)</v>
      </c>
    </row>
    <row r="15" spans="1:17" s="39" customFormat="1" ht="13.5" customHeight="1" x14ac:dyDescent="0.45">
      <c r="A15" s="80">
        <v>13</v>
      </c>
      <c r="B15" s="81" t="s">
        <v>40</v>
      </c>
      <c r="C15" s="40" t="s">
        <v>180</v>
      </c>
      <c r="D15" s="40" t="s">
        <v>460</v>
      </c>
      <c r="E15" s="41" t="s">
        <v>116</v>
      </c>
      <c r="F15" s="68"/>
      <c r="G15" s="69"/>
      <c r="H15" s="69"/>
      <c r="I15" s="68"/>
      <c r="J15" s="68"/>
      <c r="K15" s="70"/>
      <c r="L15" s="69"/>
      <c r="M15" s="69"/>
      <c r="N15" s="56" t="str">
        <f t="shared" si="0"/>
        <v>E-GEOD-69480: Direct conversion of normal and patient human fibroblasts into neuronal cells</v>
      </c>
    </row>
    <row r="16" spans="1:17" s="39" customFormat="1" ht="13.5" customHeight="1" x14ac:dyDescent="0.45">
      <c r="A16" s="80">
        <v>14</v>
      </c>
      <c r="B16" s="81" t="s">
        <v>41</v>
      </c>
      <c r="C16" s="40" t="s">
        <v>180</v>
      </c>
      <c r="D16" s="40" t="s">
        <v>471</v>
      </c>
      <c r="E16" s="41" t="s">
        <v>117</v>
      </c>
      <c r="F16" s="68"/>
      <c r="G16" s="69"/>
      <c r="H16" s="69"/>
      <c r="I16" s="68"/>
      <c r="J16" s="68"/>
      <c r="K16" s="70"/>
      <c r="L16" s="69"/>
      <c r="M16" s="69"/>
      <c r="N16" s="56" t="str">
        <f t="shared" si="0"/>
        <v>E-MTAB-3732: A comprehensive human expression map</v>
      </c>
    </row>
    <row r="17" spans="1:14" s="39" customFormat="1" ht="13.5" customHeight="1" x14ac:dyDescent="0.45">
      <c r="A17" s="80">
        <v>15</v>
      </c>
      <c r="B17" s="81" t="s">
        <v>42</v>
      </c>
      <c r="C17" s="40" t="s">
        <v>180</v>
      </c>
      <c r="D17" s="40" t="s">
        <v>460</v>
      </c>
      <c r="E17" s="41" t="s">
        <v>118</v>
      </c>
      <c r="F17" s="68"/>
      <c r="G17" s="69"/>
      <c r="H17" s="69"/>
      <c r="I17" s="68"/>
      <c r="J17" s="68"/>
      <c r="K17" s="70"/>
      <c r="L17" s="69"/>
      <c r="M17" s="69"/>
      <c r="N17" s="56" t="str">
        <f t="shared" si="0"/>
        <v>E-GEOD-42492: Induced pluripotent stem cell-derived neurons from a sporadic Alzheimer disease donor as a model for investigating disease mechanisms</v>
      </c>
    </row>
    <row r="18" spans="1:14" s="39" customFormat="1" ht="13.5" customHeight="1" x14ac:dyDescent="0.45">
      <c r="A18" s="80">
        <v>16</v>
      </c>
      <c r="B18" s="81" t="s">
        <v>43</v>
      </c>
      <c r="C18" s="40" t="s">
        <v>180</v>
      </c>
      <c r="D18" s="40" t="s">
        <v>464</v>
      </c>
      <c r="E18" s="41" t="s">
        <v>119</v>
      </c>
      <c r="F18" s="68"/>
      <c r="G18" s="69"/>
      <c r="H18" s="69"/>
      <c r="I18" s="68"/>
      <c r="J18" s="68"/>
      <c r="K18" s="70"/>
      <c r="L18" s="69"/>
      <c r="M18" s="69"/>
      <c r="N18" s="56" t="str">
        <f t="shared" si="0"/>
        <v>E-MTAB-2325: Gene expression profiles in motor cortex of Control and Sporadic Amyotrphic Lateral Sclerosis patients</v>
      </c>
    </row>
    <row r="19" spans="1:14" s="39" customFormat="1" ht="13.5" customHeight="1" x14ac:dyDescent="0.45">
      <c r="A19" s="80">
        <v>17</v>
      </c>
      <c r="B19" s="81" t="s">
        <v>44</v>
      </c>
      <c r="C19" s="40" t="s">
        <v>180</v>
      </c>
      <c r="D19" s="40" t="s">
        <v>460</v>
      </c>
      <c r="E19" s="41" t="s">
        <v>120</v>
      </c>
      <c r="F19" s="68"/>
      <c r="G19" s="69"/>
      <c r="H19" s="69"/>
      <c r="I19" s="68"/>
      <c r="J19" s="68"/>
      <c r="K19" s="70"/>
      <c r="L19" s="69"/>
      <c r="M19" s="69"/>
      <c r="N19" s="56" t="str">
        <f t="shared" si="0"/>
        <v>E-GEOD-55173: A Human Model of Cerebral Amyloid Angiopathy Using Neural Crest-Derived Vascular Smooth Muscle Cells</v>
      </c>
    </row>
    <row r="20" spans="1:14" s="39" customFormat="1" ht="13.5" customHeight="1" x14ac:dyDescent="0.45">
      <c r="A20" s="80">
        <v>18</v>
      </c>
      <c r="B20" s="81" t="s">
        <v>45</v>
      </c>
      <c r="C20" s="40" t="s">
        <v>180</v>
      </c>
      <c r="D20" s="40" t="s">
        <v>460</v>
      </c>
      <c r="E20" s="41" t="s">
        <v>121</v>
      </c>
      <c r="F20" s="68"/>
      <c r="G20" s="69"/>
      <c r="H20" s="69"/>
      <c r="I20" s="68"/>
      <c r="J20" s="68"/>
      <c r="K20" s="70"/>
      <c r="L20" s="69"/>
      <c r="M20" s="69"/>
      <c r="N20" s="56" t="str">
        <f t="shared" si="0"/>
        <v>E-GEOD-39420: Gene expression profile of sporadic and PSEN1 early-onset Alzheimer?s Disease</v>
      </c>
    </row>
    <row r="21" spans="1:14" s="39" customFormat="1" ht="13.5" customHeight="1" x14ac:dyDescent="0.45">
      <c r="A21" s="80">
        <v>19</v>
      </c>
      <c r="B21" s="81" t="s">
        <v>46</v>
      </c>
      <c r="C21" s="40" t="s">
        <v>180</v>
      </c>
      <c r="D21" s="40" t="s">
        <v>462</v>
      </c>
      <c r="E21" s="41" t="s">
        <v>122</v>
      </c>
      <c r="F21" s="68"/>
      <c r="G21" s="69"/>
      <c r="H21" s="69"/>
      <c r="I21" s="68"/>
      <c r="J21" s="68"/>
      <c r="K21" s="70"/>
      <c r="L21" s="69"/>
      <c r="M21" s="69"/>
      <c r="N21" s="56" t="str">
        <f t="shared" si="0"/>
        <v>E-MTAB-1841: Transcription profiling of human neuroblastoma cell line SH-SY5Y after treatment with soluble amyloid peptides Abeta42_wt, Abeta42_G33A, Abeta40 and vehicle control for different timepoints</v>
      </c>
    </row>
    <row r="22" spans="1:14" s="39" customFormat="1" ht="13.5" customHeight="1" x14ac:dyDescent="0.45">
      <c r="A22" s="80">
        <v>20</v>
      </c>
      <c r="B22" s="81" t="s">
        <v>47</v>
      </c>
      <c r="C22" s="40" t="s">
        <v>180</v>
      </c>
      <c r="D22" s="40" t="s">
        <v>460</v>
      </c>
      <c r="E22" s="41" t="s">
        <v>123</v>
      </c>
      <c r="F22" s="68"/>
      <c r="G22" s="69"/>
      <c r="H22" s="69"/>
      <c r="I22" s="68"/>
      <c r="J22" s="68"/>
      <c r="K22" s="70"/>
      <c r="L22" s="69"/>
      <c r="M22" s="69"/>
      <c r="N22" s="56" t="str">
        <f t="shared" si="0"/>
        <v>E-GEOD-33000: Gene expression profiles of human prefrontal cortex brain tissues</v>
      </c>
    </row>
    <row r="23" spans="1:14" s="39" customFormat="1" ht="13.5" customHeight="1" x14ac:dyDescent="0.45">
      <c r="A23" s="80">
        <v>21</v>
      </c>
      <c r="B23" s="81" t="s">
        <v>48</v>
      </c>
      <c r="C23" s="40" t="s">
        <v>180</v>
      </c>
      <c r="D23" s="40" t="s">
        <v>460</v>
      </c>
      <c r="E23" s="41" t="s">
        <v>124</v>
      </c>
      <c r="F23" s="68"/>
      <c r="G23" s="69"/>
      <c r="H23" s="69"/>
      <c r="I23" s="68"/>
      <c r="J23" s="68"/>
      <c r="K23" s="70"/>
      <c r="L23" s="69"/>
      <c r="M23" s="69"/>
      <c r="N23" s="56" t="str">
        <f t="shared" si="0"/>
        <v>E-GEOD-58959: NLRP3 inflammasome activation-responsive genes in a human monocyte cell line THP-1</v>
      </c>
    </row>
    <row r="24" spans="1:14" s="39" customFormat="1" ht="13.5" customHeight="1" x14ac:dyDescent="0.45">
      <c r="A24" s="80">
        <v>22</v>
      </c>
      <c r="B24" s="81" t="s">
        <v>49</v>
      </c>
      <c r="C24" s="40" t="s">
        <v>180</v>
      </c>
      <c r="D24" s="40" t="s">
        <v>460</v>
      </c>
      <c r="E24" s="41" t="s">
        <v>125</v>
      </c>
      <c r="F24" s="68"/>
      <c r="G24" s="69"/>
      <c r="H24" s="69"/>
      <c r="I24" s="68"/>
      <c r="J24" s="68"/>
      <c r="K24" s="70"/>
      <c r="L24" s="69"/>
      <c r="M24" s="69"/>
      <c r="N24" s="56" t="str">
        <f t="shared" si="0"/>
        <v>E-GEOD-37264: Genome-wide profiling of altered gene expression in the neocortex of Alzheimer's disease (exon level)</v>
      </c>
    </row>
    <row r="25" spans="1:14" s="39" customFormat="1" ht="13.5" customHeight="1" x14ac:dyDescent="0.45">
      <c r="A25" s="80">
        <v>23</v>
      </c>
      <c r="B25" s="81" t="s">
        <v>50</v>
      </c>
      <c r="C25" s="40" t="s">
        <v>180</v>
      </c>
      <c r="D25" s="40" t="s">
        <v>460</v>
      </c>
      <c r="E25" s="41" t="s">
        <v>126</v>
      </c>
      <c r="F25" s="68"/>
      <c r="G25" s="69"/>
      <c r="H25" s="69"/>
      <c r="I25" s="68"/>
      <c r="J25" s="68"/>
      <c r="K25" s="70"/>
      <c r="L25" s="69"/>
      <c r="M25" s="69"/>
      <c r="N25" s="56" t="str">
        <f t="shared" si="0"/>
        <v>E-GEOD-58364: Human leukocytes from 6 volunteers before and 2h after pectin capsules consumption (IV)</v>
      </c>
    </row>
    <row r="26" spans="1:14" s="39" customFormat="1" ht="13.5" customHeight="1" x14ac:dyDescent="0.45">
      <c r="A26" s="80">
        <v>24</v>
      </c>
      <c r="B26" s="81" t="s">
        <v>51</v>
      </c>
      <c r="C26" s="40" t="s">
        <v>180</v>
      </c>
      <c r="D26" s="40" t="s">
        <v>460</v>
      </c>
      <c r="E26" s="41" t="s">
        <v>127</v>
      </c>
      <c r="F26" s="68"/>
      <c r="G26" s="69"/>
      <c r="H26" s="69"/>
      <c r="I26" s="68"/>
      <c r="J26" s="68"/>
      <c r="K26" s="70"/>
      <c r="L26" s="69"/>
      <c r="M26" s="69"/>
      <c r="N26" s="56" t="str">
        <f t="shared" si="0"/>
        <v>E-GEOD-58349: Human leukocytes from 6 volunteers before and 2h after pectin capsules consumption (II)</v>
      </c>
    </row>
    <row r="27" spans="1:14" s="39" customFormat="1" ht="13.5" customHeight="1" x14ac:dyDescent="0.45">
      <c r="A27" s="80">
        <v>25</v>
      </c>
      <c r="B27" s="81" t="s">
        <v>52</v>
      </c>
      <c r="C27" s="40" t="s">
        <v>180</v>
      </c>
      <c r="D27" s="40" t="s">
        <v>460</v>
      </c>
      <c r="E27" s="41" t="s">
        <v>128</v>
      </c>
      <c r="F27" s="68"/>
      <c r="G27" s="69"/>
      <c r="H27" s="69"/>
      <c r="I27" s="68"/>
      <c r="J27" s="68"/>
      <c r="K27" s="70"/>
      <c r="L27" s="69"/>
      <c r="M27" s="69"/>
      <c r="N27" s="56" t="str">
        <f t="shared" si="0"/>
        <v>E-GEOD-58348: Human leukocytes from 6 volunteers before and 2h after pectin capsules consumption (I)</v>
      </c>
    </row>
    <row r="28" spans="1:14" s="39" customFormat="1" ht="13.5" customHeight="1" x14ac:dyDescent="0.45">
      <c r="A28" s="80">
        <v>26</v>
      </c>
      <c r="B28" s="81" t="s">
        <v>53</v>
      </c>
      <c r="C28" s="40" t="s">
        <v>180</v>
      </c>
      <c r="D28" s="40" t="s">
        <v>460</v>
      </c>
      <c r="E28" s="41" t="s">
        <v>129</v>
      </c>
      <c r="F28" s="68"/>
      <c r="G28" s="69"/>
      <c r="H28" s="69"/>
      <c r="I28" s="68"/>
      <c r="J28" s="68"/>
      <c r="K28" s="70"/>
      <c r="L28" s="69"/>
      <c r="M28" s="69"/>
      <c r="N28" s="56" t="str">
        <f t="shared" si="0"/>
        <v>E-GEOD-48350: Microarray analysis of Alzheimer's disease patients across 4 brain regions</v>
      </c>
    </row>
    <row r="29" spans="1:14" s="39" customFormat="1" ht="13.5" customHeight="1" x14ac:dyDescent="0.45">
      <c r="A29" s="80">
        <v>27</v>
      </c>
      <c r="B29" s="81" t="s">
        <v>54</v>
      </c>
      <c r="C29" s="40" t="s">
        <v>180</v>
      </c>
      <c r="D29" s="40" t="s">
        <v>460</v>
      </c>
      <c r="E29" s="41" t="s">
        <v>130</v>
      </c>
      <c r="F29" s="68"/>
      <c r="G29" s="69"/>
      <c r="H29" s="69"/>
      <c r="I29" s="68"/>
      <c r="J29" s="68"/>
      <c r="K29" s="70"/>
      <c r="L29" s="69"/>
      <c r="M29" s="69"/>
      <c r="N29" s="56" t="str">
        <f t="shared" si="0"/>
        <v>E-GEOD-56899: Microarray Data of cell-free RNA across pregnancy time course</v>
      </c>
    </row>
    <row r="30" spans="1:14" s="39" customFormat="1" ht="13.5" customHeight="1" x14ac:dyDescent="0.45">
      <c r="A30" s="80">
        <v>28</v>
      </c>
      <c r="B30" s="81" t="s">
        <v>55</v>
      </c>
      <c r="C30" s="40" t="s">
        <v>180</v>
      </c>
      <c r="D30" s="40" t="s">
        <v>460</v>
      </c>
      <c r="E30" s="41" t="s">
        <v>131</v>
      </c>
      <c r="F30" s="68"/>
      <c r="G30" s="69"/>
      <c r="H30" s="69"/>
      <c r="I30" s="68"/>
      <c r="J30" s="68"/>
      <c r="K30" s="70"/>
      <c r="L30" s="69"/>
      <c r="M30" s="69"/>
      <c r="N30" s="56" t="str">
        <f t="shared" si="0"/>
        <v>E-GEOD-53890: REST and Stress Resistance in Aging and Alzheimer?s Disease</v>
      </c>
    </row>
    <row r="31" spans="1:14" s="39" customFormat="1" ht="13.5" customHeight="1" x14ac:dyDescent="0.45">
      <c r="A31" s="80">
        <v>29</v>
      </c>
      <c r="B31" s="81" t="s">
        <v>56</v>
      </c>
      <c r="C31" s="40" t="s">
        <v>180</v>
      </c>
      <c r="D31" s="40" t="s">
        <v>460</v>
      </c>
      <c r="E31" s="41" t="s">
        <v>132</v>
      </c>
      <c r="F31" s="68"/>
      <c r="G31" s="69"/>
      <c r="H31" s="69"/>
      <c r="I31" s="68"/>
      <c r="J31" s="68"/>
      <c r="K31" s="70"/>
      <c r="L31" s="69"/>
      <c r="M31" s="69"/>
      <c r="N31" s="56" t="str">
        <f t="shared" si="0"/>
        <v>E-GEOD-44805: Capturing the biological impact of the melanoma susceptibility genes CDKN2A and MC1R in  cocultured keratinocytes and melanocytes</v>
      </c>
    </row>
    <row r="32" spans="1:14" s="39" customFormat="1" ht="13.5" customHeight="1" x14ac:dyDescent="0.45">
      <c r="A32" s="80">
        <v>30</v>
      </c>
      <c r="B32" s="81" t="s">
        <v>57</v>
      </c>
      <c r="C32" s="40" t="s">
        <v>180</v>
      </c>
      <c r="D32" s="40" t="s">
        <v>460</v>
      </c>
      <c r="E32" s="41" t="s">
        <v>133</v>
      </c>
      <c r="F32" s="68"/>
      <c r="G32" s="69"/>
      <c r="H32" s="69"/>
      <c r="I32" s="68"/>
      <c r="J32" s="68"/>
      <c r="K32" s="70"/>
      <c r="L32" s="69"/>
      <c r="M32" s="69"/>
      <c r="N32" s="56" t="str">
        <f t="shared" si="0"/>
        <v>E-GEOD-30643: Expression data from parietal cortex of G114V genetic Creutzfeldt-Jakob disease patient</v>
      </c>
    </row>
    <row r="33" spans="1:14" s="39" customFormat="1" ht="13.5" customHeight="1" x14ac:dyDescent="0.45">
      <c r="A33" s="80">
        <v>31</v>
      </c>
      <c r="B33" s="81" t="s">
        <v>58</v>
      </c>
      <c r="C33" s="40" t="s">
        <v>180</v>
      </c>
      <c r="D33" s="40" t="s">
        <v>460</v>
      </c>
      <c r="E33" s="41" t="s">
        <v>134</v>
      </c>
      <c r="F33" s="68"/>
      <c r="G33" s="69"/>
      <c r="H33" s="69"/>
      <c r="I33" s="68"/>
      <c r="J33" s="68"/>
      <c r="K33" s="70"/>
      <c r="L33" s="69"/>
      <c r="M33" s="69"/>
      <c r="N33" s="56" t="str">
        <f t="shared" si="0"/>
        <v>E-GEOD-29378: Genes and Pathways Underlying Regional and Cell Type Changes in Alzheimer's Disease</v>
      </c>
    </row>
    <row r="34" spans="1:14" s="39" customFormat="1" ht="13.5" customHeight="1" x14ac:dyDescent="0.45">
      <c r="A34" s="80">
        <v>32</v>
      </c>
      <c r="B34" s="81" t="s">
        <v>59</v>
      </c>
      <c r="C34" s="40" t="s">
        <v>180</v>
      </c>
      <c r="D34" s="40" t="s">
        <v>181</v>
      </c>
      <c r="E34" s="41" t="s">
        <v>135</v>
      </c>
      <c r="F34" s="68"/>
      <c r="G34" s="69"/>
      <c r="H34" s="69"/>
      <c r="I34" s="68"/>
      <c r="J34" s="68"/>
      <c r="K34" s="70"/>
      <c r="L34" s="69"/>
      <c r="M34" s="69"/>
      <c r="N34" s="56" t="str">
        <f t="shared" si="0"/>
        <v>E-GEOD-44772: Multi-tissue gene expression profiles of human brain</v>
      </c>
    </row>
    <row r="35" spans="1:14" s="39" customFormat="1" ht="13.5" customHeight="1" x14ac:dyDescent="0.45">
      <c r="A35" s="80">
        <v>33</v>
      </c>
      <c r="B35" s="81" t="s">
        <v>60</v>
      </c>
      <c r="C35" s="40" t="s">
        <v>180</v>
      </c>
      <c r="D35" s="40" t="s">
        <v>460</v>
      </c>
      <c r="E35" s="41" t="s">
        <v>136</v>
      </c>
      <c r="F35" s="68"/>
      <c r="G35" s="69"/>
      <c r="H35" s="69"/>
      <c r="I35" s="68"/>
      <c r="J35" s="68"/>
      <c r="K35" s="70"/>
      <c r="L35" s="69"/>
      <c r="M35" s="69"/>
      <c r="N35" s="56" t="str">
        <f t="shared" si="0"/>
        <v>E-GEOD-44771: Multi-tissue gene expression profiles of human brain (VC)</v>
      </c>
    </row>
    <row r="36" spans="1:14" s="39" customFormat="1" ht="13.5" customHeight="1" x14ac:dyDescent="0.45">
      <c r="A36" s="80">
        <v>34</v>
      </c>
      <c r="B36" s="81" t="s">
        <v>61</v>
      </c>
      <c r="C36" s="40" t="s">
        <v>180</v>
      </c>
      <c r="D36" s="40" t="s">
        <v>460</v>
      </c>
      <c r="E36" s="41" t="s">
        <v>137</v>
      </c>
      <c r="F36" s="68"/>
      <c r="G36" s="69"/>
      <c r="H36" s="69"/>
      <c r="I36" s="68"/>
      <c r="J36" s="68"/>
      <c r="K36" s="70"/>
      <c r="L36" s="69"/>
      <c r="M36" s="69"/>
      <c r="N36" s="56" t="str">
        <f t="shared" si="0"/>
        <v>E-GEOD-44770: Multi-tissue gene expression profiles of human brain (PFC)</v>
      </c>
    </row>
    <row r="37" spans="1:14" s="39" customFormat="1" ht="13.5" customHeight="1" x14ac:dyDescent="0.45">
      <c r="A37" s="80">
        <v>35</v>
      </c>
      <c r="B37" s="81" t="s">
        <v>62</v>
      </c>
      <c r="C37" s="40" t="s">
        <v>180</v>
      </c>
      <c r="D37" s="40" t="s">
        <v>460</v>
      </c>
      <c r="E37" s="41" t="s">
        <v>138</v>
      </c>
      <c r="F37" s="68"/>
      <c r="G37" s="69"/>
      <c r="H37" s="69"/>
      <c r="I37" s="68"/>
      <c r="J37" s="68"/>
      <c r="K37" s="70"/>
      <c r="L37" s="69"/>
      <c r="M37" s="69"/>
      <c r="N37" s="56" t="str">
        <f t="shared" si="0"/>
        <v>E-GEOD-44768: Multi-tissue gene expression profiles of human brain (CR)</v>
      </c>
    </row>
    <row r="38" spans="1:14" s="39" customFormat="1" ht="13.5" customHeight="1" x14ac:dyDescent="0.45">
      <c r="A38" s="80">
        <v>36</v>
      </c>
      <c r="B38" s="81" t="s">
        <v>63</v>
      </c>
      <c r="C38" s="40" t="s">
        <v>180</v>
      </c>
      <c r="D38" s="40" t="s">
        <v>460</v>
      </c>
      <c r="E38" s="41" t="s">
        <v>139</v>
      </c>
      <c r="F38" s="68"/>
      <c r="G38" s="69"/>
      <c r="H38" s="69"/>
      <c r="I38" s="68"/>
      <c r="J38" s="68"/>
      <c r="K38" s="70"/>
      <c r="L38" s="69"/>
      <c r="M38" s="69"/>
      <c r="N38" s="56" t="str">
        <f t="shared" si="0"/>
        <v>E-GEOD-36980: Microarray analysis of postmortem human brains with presence or absence of Alzheimer's disease</v>
      </c>
    </row>
    <row r="39" spans="1:14" s="39" customFormat="1" ht="13.5" customHeight="1" x14ac:dyDescent="0.45">
      <c r="A39" s="80">
        <v>37</v>
      </c>
      <c r="B39" s="81" t="s">
        <v>64</v>
      </c>
      <c r="C39" s="40" t="s">
        <v>180</v>
      </c>
      <c r="D39" s="40" t="s">
        <v>460</v>
      </c>
      <c r="E39" s="41" t="s">
        <v>140</v>
      </c>
      <c r="F39" s="68"/>
      <c r="G39" s="69"/>
      <c r="H39" s="69"/>
      <c r="I39" s="68"/>
      <c r="J39" s="68"/>
      <c r="K39" s="70"/>
      <c r="L39" s="69"/>
      <c r="M39" s="69"/>
      <c r="N39" s="56" t="str">
        <f t="shared" si="0"/>
        <v>E-GEOD-45596: Brain microvessel: Alzheimer disease vs normal</v>
      </c>
    </row>
    <row r="40" spans="1:14" s="39" customFormat="1" ht="13.5" customHeight="1" x14ac:dyDescent="0.45">
      <c r="A40" s="80">
        <v>38</v>
      </c>
      <c r="B40" s="81" t="s">
        <v>65</v>
      </c>
      <c r="C40" s="40" t="s">
        <v>180</v>
      </c>
      <c r="D40" s="40" t="s">
        <v>460</v>
      </c>
      <c r="E40" s="41" t="s">
        <v>141</v>
      </c>
      <c r="F40" s="68"/>
      <c r="G40" s="69"/>
      <c r="H40" s="69"/>
      <c r="I40" s="68"/>
      <c r="J40" s="68"/>
      <c r="K40" s="70"/>
      <c r="L40" s="69"/>
      <c r="M40" s="69"/>
      <c r="N40" s="56" t="str">
        <f t="shared" si="0"/>
        <v>E-GEOD-13214: Evaluation of gene expression profile in postmortem brain with AlzheimerÂ´s disease-type neuropathological changes</v>
      </c>
    </row>
    <row r="41" spans="1:14" s="39" customFormat="1" ht="13.5" customHeight="1" x14ac:dyDescent="0.45">
      <c r="A41" s="80">
        <v>39</v>
      </c>
      <c r="B41" s="81" t="s">
        <v>66</v>
      </c>
      <c r="C41" s="40" t="s">
        <v>180</v>
      </c>
      <c r="D41" s="40" t="s">
        <v>460</v>
      </c>
      <c r="E41" s="41" t="s">
        <v>142</v>
      </c>
      <c r="F41" s="68"/>
      <c r="G41" s="69"/>
      <c r="H41" s="69"/>
      <c r="I41" s="68"/>
      <c r="J41" s="68"/>
      <c r="K41" s="70"/>
      <c r="L41" s="69"/>
      <c r="M41" s="69"/>
      <c r="N41" s="56" t="str">
        <f t="shared" si="0"/>
        <v>E-GEOD-41868: Genome-wide analysis of mRNA levels in response to a Pin1 knock-down</v>
      </c>
    </row>
    <row r="42" spans="1:14" s="39" customFormat="1" ht="13.5" customHeight="1" x14ac:dyDescent="0.45">
      <c r="A42" s="80">
        <v>40</v>
      </c>
      <c r="B42" s="81" t="s">
        <v>67</v>
      </c>
      <c r="C42" s="40" t="s">
        <v>180</v>
      </c>
      <c r="D42" s="40" t="s">
        <v>460</v>
      </c>
      <c r="E42" s="41" t="s">
        <v>143</v>
      </c>
      <c r="F42" s="68"/>
      <c r="G42" s="69"/>
      <c r="H42" s="69"/>
      <c r="I42" s="68"/>
      <c r="J42" s="68"/>
      <c r="K42" s="70"/>
      <c r="L42" s="69"/>
      <c r="M42" s="69"/>
      <c r="N42" s="56" t="str">
        <f t="shared" si="0"/>
        <v>E-GEOD-26972: Expression data from non-demented controls (NDCs) and Alzheimer's disease (AD) patients</v>
      </c>
    </row>
    <row r="43" spans="1:14" s="39" customFormat="1" ht="13.5" customHeight="1" x14ac:dyDescent="0.45">
      <c r="A43" s="80">
        <v>41</v>
      </c>
      <c r="B43" s="81" t="s">
        <v>68</v>
      </c>
      <c r="C43" s="40" t="s">
        <v>180</v>
      </c>
      <c r="D43" s="40" t="s">
        <v>462</v>
      </c>
      <c r="E43" s="41" t="s">
        <v>144</v>
      </c>
      <c r="F43" s="68"/>
      <c r="G43" s="69"/>
      <c r="H43" s="69"/>
      <c r="I43" s="68"/>
      <c r="J43" s="68"/>
      <c r="K43" s="70"/>
      <c r="L43" s="69"/>
      <c r="M43" s="69"/>
      <c r="N43" s="56" t="str">
        <f t="shared" si="0"/>
        <v>E-GEOD-38652: In vitro responses of fibroblasts from patients with TBK1 deficiency after TLR3 dependent and independent stimuli</v>
      </c>
    </row>
    <row r="44" spans="1:14" s="39" customFormat="1" ht="13.5" customHeight="1" x14ac:dyDescent="0.45">
      <c r="A44" s="80">
        <v>42</v>
      </c>
      <c r="B44" s="81" t="s">
        <v>69</v>
      </c>
      <c r="C44" s="40" t="s">
        <v>180</v>
      </c>
      <c r="D44" s="40" t="s">
        <v>460</v>
      </c>
      <c r="E44" s="41" t="s">
        <v>145</v>
      </c>
      <c r="F44" s="68"/>
      <c r="G44" s="69"/>
      <c r="H44" s="69"/>
      <c r="I44" s="68"/>
      <c r="J44" s="68"/>
      <c r="K44" s="70"/>
      <c r="L44" s="69"/>
      <c r="M44" s="69"/>
      <c r="N44" s="56" t="str">
        <f t="shared" si="0"/>
        <v>E-GEOD-29680: Microarray analysis of blood samples from Alzheimer disease patients received dietary rich in n-3 fatty acids or placebo for 6 months</v>
      </c>
    </row>
    <row r="45" spans="1:14" s="39" customFormat="1" ht="13.5" customHeight="1" x14ac:dyDescent="0.45">
      <c r="A45" s="80">
        <v>43</v>
      </c>
      <c r="B45" s="81" t="s">
        <v>70</v>
      </c>
      <c r="C45" s="40" t="s">
        <v>180</v>
      </c>
      <c r="D45" s="40" t="s">
        <v>460</v>
      </c>
      <c r="E45" s="41" t="s">
        <v>146</v>
      </c>
      <c r="F45" s="68"/>
      <c r="G45" s="69"/>
      <c r="H45" s="69"/>
      <c r="I45" s="68"/>
      <c r="J45" s="68"/>
      <c r="K45" s="70"/>
      <c r="L45" s="69"/>
      <c r="M45" s="69"/>
      <c r="N45" s="56" t="str">
        <f t="shared" si="0"/>
        <v>E-GEOD-37257: EpCAM knock-down in FaDu head and neck carcinoma cells</v>
      </c>
    </row>
    <row r="46" spans="1:14" s="39" customFormat="1" ht="13.5" customHeight="1" x14ac:dyDescent="0.45">
      <c r="A46" s="80">
        <v>44</v>
      </c>
      <c r="B46" s="81" t="s">
        <v>71</v>
      </c>
      <c r="C46" s="40" t="s">
        <v>180</v>
      </c>
      <c r="D46" s="40" t="s">
        <v>460</v>
      </c>
      <c r="E46" s="41" t="s">
        <v>147</v>
      </c>
      <c r="F46" s="68"/>
      <c r="G46" s="69"/>
      <c r="H46" s="69"/>
      <c r="I46" s="68"/>
      <c r="J46" s="68"/>
      <c r="K46" s="70"/>
      <c r="L46" s="69"/>
      <c r="M46" s="69"/>
      <c r="N46" s="56" t="str">
        <f t="shared" si="0"/>
        <v>E-GEOD-37263: Genome-wide profiling of altered gene expression in the neocortex of Alzheimer's disease (gene level)</v>
      </c>
    </row>
    <row r="47" spans="1:14" s="39" customFormat="1" ht="13.5" customHeight="1" x14ac:dyDescent="0.45">
      <c r="A47" s="80">
        <v>45</v>
      </c>
      <c r="B47" s="81" t="s">
        <v>72</v>
      </c>
      <c r="C47" s="40" t="s">
        <v>180</v>
      </c>
      <c r="D47" s="40" t="s">
        <v>460</v>
      </c>
      <c r="E47" s="41" t="s">
        <v>148</v>
      </c>
      <c r="F47" s="68"/>
      <c r="G47" s="69"/>
      <c r="H47" s="69"/>
      <c r="I47" s="68"/>
      <c r="J47" s="68"/>
      <c r="K47" s="70"/>
      <c r="L47" s="69"/>
      <c r="M47" s="69"/>
      <c r="N47" s="56" t="str">
        <f t="shared" si="0"/>
        <v>E-GEOD-34879: Induced pluripotent stem cell-derived models of sporadic and familial Alzheimer?s disease</v>
      </c>
    </row>
    <row r="48" spans="1:14" s="39" customFormat="1" ht="13.5" customHeight="1" x14ac:dyDescent="0.45">
      <c r="A48" s="80">
        <v>46</v>
      </c>
      <c r="B48" s="81" t="s">
        <v>73</v>
      </c>
      <c r="C48" s="40" t="s">
        <v>180</v>
      </c>
      <c r="D48" s="40" t="s">
        <v>462</v>
      </c>
      <c r="E48" s="41" t="s">
        <v>149</v>
      </c>
      <c r="F48" s="68"/>
      <c r="G48" s="69"/>
      <c r="H48" s="69"/>
      <c r="I48" s="68"/>
      <c r="J48" s="68"/>
      <c r="K48" s="70"/>
      <c r="L48" s="69"/>
      <c r="M48" s="69"/>
      <c r="N48" s="56" t="str">
        <f t="shared" si="0"/>
        <v>E-GEOD-30951: Complete TLR3 deficiency</v>
      </c>
    </row>
    <row r="49" spans="1:14" s="39" customFormat="1" ht="13.5" customHeight="1" x14ac:dyDescent="0.45">
      <c r="A49" s="80">
        <v>47</v>
      </c>
      <c r="B49" s="81" t="s">
        <v>74</v>
      </c>
      <c r="C49" s="40" t="s">
        <v>180</v>
      </c>
      <c r="D49" s="40" t="s">
        <v>462</v>
      </c>
      <c r="E49" s="41" t="s">
        <v>150</v>
      </c>
      <c r="F49" s="68"/>
      <c r="G49" s="69"/>
      <c r="H49" s="69"/>
      <c r="I49" s="68"/>
      <c r="J49" s="68"/>
      <c r="K49" s="70"/>
      <c r="L49" s="69"/>
      <c r="M49" s="69"/>
      <c r="N49" s="56" t="str">
        <f t="shared" si="0"/>
        <v>E-GEOD-32390: In vitro responses of PBMC and fibroblasts from patients with TRIF deficiency after TRIF dependent and independent stimuli</v>
      </c>
    </row>
    <row r="50" spans="1:14" s="39" customFormat="1" ht="13.5" customHeight="1" x14ac:dyDescent="0.45">
      <c r="A50" s="80">
        <v>48</v>
      </c>
      <c r="B50" s="81" t="s">
        <v>75</v>
      </c>
      <c r="C50" s="40" t="s">
        <v>180</v>
      </c>
      <c r="D50" s="40" t="s">
        <v>460</v>
      </c>
      <c r="E50" s="41" t="s">
        <v>151</v>
      </c>
      <c r="F50" s="68"/>
      <c r="G50" s="69"/>
      <c r="H50" s="69"/>
      <c r="I50" s="68"/>
      <c r="J50" s="68"/>
      <c r="K50" s="70"/>
      <c r="L50" s="69"/>
      <c r="M50" s="69"/>
      <c r="N50" s="56" t="str">
        <f t="shared" si="0"/>
        <v>E-GEOD-32645: Microarray analysis of cerebral corted from patients with progressive multiple sclerosis, meningitis tuberculosis, Alzheimers disease as well as of normal cortex</v>
      </c>
    </row>
    <row r="51" spans="1:14" s="39" customFormat="1" ht="13.5" customHeight="1" x14ac:dyDescent="0.45">
      <c r="A51" s="80">
        <v>49</v>
      </c>
      <c r="B51" s="81" t="s">
        <v>76</v>
      </c>
      <c r="C51" s="40" t="s">
        <v>180</v>
      </c>
      <c r="D51" s="40" t="s">
        <v>460</v>
      </c>
      <c r="E51" s="41" t="s">
        <v>152</v>
      </c>
      <c r="F51" s="68"/>
      <c r="G51" s="69"/>
      <c r="H51" s="69"/>
      <c r="I51" s="68"/>
      <c r="J51" s="68"/>
      <c r="K51" s="70"/>
      <c r="L51" s="69"/>
      <c r="M51" s="69"/>
      <c r="N51" s="56" t="str">
        <f t="shared" si="0"/>
        <v>E-GEOD-28379: Gene expression profiles of familial Alzheimer's disease with presenilin 2 mutation patient-specific induced pluripotent stem cells</v>
      </c>
    </row>
    <row r="52" spans="1:14" s="39" customFormat="1" ht="13.5" customHeight="1" x14ac:dyDescent="0.45">
      <c r="A52" s="80">
        <v>50</v>
      </c>
      <c r="B52" s="80" t="s">
        <v>77</v>
      </c>
      <c r="C52" s="40" t="s">
        <v>465</v>
      </c>
      <c r="D52" s="68"/>
      <c r="E52" s="41" t="s">
        <v>153</v>
      </c>
      <c r="F52" s="40" t="s">
        <v>466</v>
      </c>
      <c r="G52" s="42" t="s">
        <v>467</v>
      </c>
      <c r="H52" s="42" t="s">
        <v>468</v>
      </c>
      <c r="I52" s="40">
        <v>9</v>
      </c>
      <c r="J52" s="40">
        <v>6</v>
      </c>
      <c r="K52" s="43">
        <v>40774</v>
      </c>
      <c r="L52" s="42" t="s">
        <v>469</v>
      </c>
      <c r="M52" s="42" t="s">
        <v>470</v>
      </c>
      <c r="N52" s="56" t="str">
        <f t="shared" si="0"/>
        <v>E-MTAB-656: Alternative splicing in human temporal cortex</v>
      </c>
    </row>
    <row r="53" spans="1:14" s="39" customFormat="1" ht="13.5" customHeight="1" x14ac:dyDescent="0.45">
      <c r="A53" s="80">
        <v>51</v>
      </c>
      <c r="B53" s="81" t="s">
        <v>78</v>
      </c>
      <c r="C53" s="40" t="s">
        <v>180</v>
      </c>
      <c r="D53" s="40" t="s">
        <v>460</v>
      </c>
      <c r="E53" s="41" t="s">
        <v>154</v>
      </c>
      <c r="F53" s="68"/>
      <c r="G53" s="69"/>
      <c r="H53" s="69"/>
      <c r="I53" s="68"/>
      <c r="J53" s="68"/>
      <c r="K53" s="70"/>
      <c r="L53" s="69"/>
      <c r="M53" s="69"/>
      <c r="N53" s="56" t="str">
        <f t="shared" si="0"/>
        <v>E-GEOD-28146: Microarray analysis of laser-captured hippocampus from Alzheimer's disease patients</v>
      </c>
    </row>
    <row r="54" spans="1:14" s="39" customFormat="1" ht="13.5" customHeight="1" x14ac:dyDescent="0.45">
      <c r="A54" s="80">
        <v>52</v>
      </c>
      <c r="B54" s="81" t="s">
        <v>79</v>
      </c>
      <c r="C54" s="40" t="s">
        <v>180</v>
      </c>
      <c r="D54" s="40" t="s">
        <v>460</v>
      </c>
      <c r="E54" s="41" t="s">
        <v>155</v>
      </c>
      <c r="F54" s="68"/>
      <c r="G54" s="69"/>
      <c r="H54" s="69"/>
      <c r="I54" s="68"/>
      <c r="J54" s="68"/>
      <c r="K54" s="70"/>
      <c r="L54" s="69"/>
      <c r="M54" s="69"/>
      <c r="N54" s="56" t="str">
        <f t="shared" si="0"/>
        <v>E-GEOD-30945: The use of non-amplified RNA samples for gene expression analysis by sensitive microarray</v>
      </c>
    </row>
    <row r="55" spans="1:14" s="39" customFormat="1" ht="13.5" customHeight="1" x14ac:dyDescent="0.45">
      <c r="A55" s="80">
        <v>53</v>
      </c>
      <c r="B55" s="81" t="s">
        <v>80</v>
      </c>
      <c r="C55" s="40" t="s">
        <v>180</v>
      </c>
      <c r="D55" s="40" t="s">
        <v>460</v>
      </c>
      <c r="E55" s="41" t="s">
        <v>156</v>
      </c>
      <c r="F55" s="68"/>
      <c r="G55" s="69"/>
      <c r="H55" s="69"/>
      <c r="I55" s="68"/>
      <c r="J55" s="68"/>
      <c r="K55" s="70"/>
      <c r="L55" s="69"/>
      <c r="M55" s="69"/>
      <c r="N55" s="56" t="str">
        <f t="shared" si="0"/>
        <v>E-GEOD-29652: Microarray analysis of the astrocyte transcriptome in the ageing brain: relationship to Alzheimer's pathology and ApoE genotype</v>
      </c>
    </row>
    <row r="56" spans="1:14" s="39" customFormat="1" ht="13.5" customHeight="1" x14ac:dyDescent="0.45">
      <c r="A56" s="80">
        <v>54</v>
      </c>
      <c r="B56" s="81" t="s">
        <v>81</v>
      </c>
      <c r="C56" s="40" t="s">
        <v>180</v>
      </c>
      <c r="D56" s="40" t="s">
        <v>460</v>
      </c>
      <c r="E56" s="41" t="s">
        <v>157</v>
      </c>
      <c r="F56" s="68"/>
      <c r="G56" s="69"/>
      <c r="H56" s="69"/>
      <c r="I56" s="68"/>
      <c r="J56" s="68"/>
      <c r="K56" s="70"/>
      <c r="L56" s="69"/>
      <c r="M56" s="69"/>
      <c r="N56" s="56" t="str">
        <f t="shared" si="0"/>
        <v>E-GEOD-26927: Common neuroinflammatory pathways in neurodegenerative diseases</v>
      </c>
    </row>
    <row r="57" spans="1:14" s="39" customFormat="1" ht="13.5" customHeight="1" x14ac:dyDescent="0.45">
      <c r="A57" s="80">
        <v>55</v>
      </c>
      <c r="B57" s="81" t="s">
        <v>82</v>
      </c>
      <c r="C57" s="40" t="s">
        <v>180</v>
      </c>
      <c r="D57" s="40" t="s">
        <v>460</v>
      </c>
      <c r="E57" s="41" t="s">
        <v>158</v>
      </c>
      <c r="F57" s="68"/>
      <c r="G57" s="69"/>
      <c r="H57" s="69"/>
      <c r="I57" s="68"/>
      <c r="J57" s="68"/>
      <c r="K57" s="70"/>
      <c r="L57" s="69"/>
      <c r="M57" s="69"/>
      <c r="N57" s="56" t="str">
        <f t="shared" si="0"/>
        <v>E-GEOD-20164: Systematic meta-analysis and replication of genome-wide expression studies of Parkinson's disease: 3</v>
      </c>
    </row>
    <row r="58" spans="1:14" s="39" customFormat="1" ht="13.5" customHeight="1" x14ac:dyDescent="0.45">
      <c r="A58" s="80">
        <v>56</v>
      </c>
      <c r="B58" s="81" t="s">
        <v>83</v>
      </c>
      <c r="C58" s="40" t="s">
        <v>180</v>
      </c>
      <c r="D58" s="40" t="s">
        <v>460</v>
      </c>
      <c r="E58" s="41" t="s">
        <v>159</v>
      </c>
      <c r="F58" s="68"/>
      <c r="G58" s="69"/>
      <c r="H58" s="69"/>
      <c r="I58" s="68"/>
      <c r="J58" s="68"/>
      <c r="K58" s="70"/>
      <c r="L58" s="69"/>
      <c r="M58" s="69"/>
      <c r="N58" s="56" t="str">
        <f t="shared" si="0"/>
        <v>E-GEOD-20163: Systematic meta-analysis and replication of genome-wide expression studies of Parkinson's disease: 2</v>
      </c>
    </row>
    <row r="59" spans="1:14" s="39" customFormat="1" ht="13.5" customHeight="1" x14ac:dyDescent="0.45">
      <c r="A59" s="80">
        <v>57</v>
      </c>
      <c r="B59" s="81" t="s">
        <v>84</v>
      </c>
      <c r="C59" s="40" t="s">
        <v>180</v>
      </c>
      <c r="D59" s="40" t="s">
        <v>460</v>
      </c>
      <c r="E59" s="41" t="s">
        <v>160</v>
      </c>
      <c r="F59" s="68"/>
      <c r="G59" s="69"/>
      <c r="H59" s="69"/>
      <c r="I59" s="68"/>
      <c r="J59" s="68"/>
      <c r="K59" s="70"/>
      <c r="L59" s="69"/>
      <c r="M59" s="69"/>
      <c r="N59" s="56" t="str">
        <f t="shared" si="0"/>
        <v>E-GEOD-21450: Dysregulated expression and alternative splicing of genes controlling neuritogenesis and axon guidance revealed by exon-sensitive microarrays in models of neurodegeneration</v>
      </c>
    </row>
    <row r="60" spans="1:14" s="39" customFormat="1" ht="13.5" customHeight="1" x14ac:dyDescent="0.45">
      <c r="A60" s="80">
        <v>58</v>
      </c>
      <c r="B60" s="81" t="s">
        <v>85</v>
      </c>
      <c r="C60" s="40" t="s">
        <v>180</v>
      </c>
      <c r="D60" s="40" t="s">
        <v>460</v>
      </c>
      <c r="E60" s="41" t="s">
        <v>161</v>
      </c>
      <c r="F60" s="68"/>
      <c r="G60" s="69"/>
      <c r="H60" s="69"/>
      <c r="I60" s="68"/>
      <c r="J60" s="68"/>
      <c r="K60" s="70"/>
      <c r="L60" s="69"/>
      <c r="M60" s="69"/>
      <c r="N60" s="56" t="str">
        <f t="shared" si="0"/>
        <v>E-GEOD-24345: UC San Diego_Friedmann_Kang_Human fibroblast knockdown</v>
      </c>
    </row>
    <row r="61" spans="1:14" s="39" customFormat="1" ht="13.5" customHeight="1" x14ac:dyDescent="0.45">
      <c r="A61" s="80">
        <v>59</v>
      </c>
      <c r="B61" s="81" t="s">
        <v>86</v>
      </c>
      <c r="C61" s="40" t="s">
        <v>180</v>
      </c>
      <c r="D61" s="40" t="s">
        <v>471</v>
      </c>
      <c r="E61" s="41" t="s">
        <v>162</v>
      </c>
      <c r="F61" s="68"/>
      <c r="G61" s="69"/>
      <c r="H61" s="69"/>
      <c r="I61" s="68"/>
      <c r="J61" s="68"/>
      <c r="K61" s="70"/>
      <c r="L61" s="69"/>
      <c r="M61" s="69"/>
      <c r="N61" s="56" t="str">
        <f t="shared" si="0"/>
        <v>E-MTAB-62: Human gene expression atlas of 5372 samples representing 369 different cell and tissue types, disease states and cell lines</v>
      </c>
    </row>
    <row r="62" spans="1:14" s="39" customFormat="1" ht="13.5" customHeight="1" x14ac:dyDescent="0.45">
      <c r="A62" s="80">
        <v>60</v>
      </c>
      <c r="B62" s="81" t="s">
        <v>87</v>
      </c>
      <c r="C62" s="40" t="s">
        <v>180</v>
      </c>
      <c r="D62" s="40" t="s">
        <v>460</v>
      </c>
      <c r="E62" s="41" t="s">
        <v>163</v>
      </c>
      <c r="F62" s="68"/>
      <c r="G62" s="69"/>
      <c r="H62" s="69"/>
      <c r="I62" s="68"/>
      <c r="J62" s="68"/>
      <c r="K62" s="70"/>
      <c r="L62" s="69"/>
      <c r="M62" s="69"/>
      <c r="N62" s="56" t="str">
        <f t="shared" si="0"/>
        <v>E-GEOD-4229: Expression profiling of peripheral blood mononuclear cell</v>
      </c>
    </row>
    <row r="63" spans="1:14" s="39" customFormat="1" ht="13.5" customHeight="1" x14ac:dyDescent="0.45">
      <c r="A63" s="80">
        <v>61</v>
      </c>
      <c r="B63" s="81" t="s">
        <v>88</v>
      </c>
      <c r="C63" s="40" t="s">
        <v>180</v>
      </c>
      <c r="D63" s="40" t="s">
        <v>460</v>
      </c>
      <c r="E63" s="41" t="s">
        <v>164</v>
      </c>
      <c r="F63" s="68"/>
      <c r="G63" s="69"/>
      <c r="H63" s="69"/>
      <c r="I63" s="68"/>
      <c r="J63" s="68"/>
      <c r="K63" s="70"/>
      <c r="L63" s="69"/>
      <c r="M63" s="69"/>
      <c r="N63" s="56" t="str">
        <f t="shared" si="0"/>
        <v>E-GEOD-4227: GSTM3 single nucleotide polymorphism (rs7483) associated with peripheral BMC expression in Alzheimer disease</v>
      </c>
    </row>
    <row r="64" spans="1:14" s="39" customFormat="1" ht="13.5" customHeight="1" x14ac:dyDescent="0.45">
      <c r="A64" s="80">
        <v>62</v>
      </c>
      <c r="B64" s="81" t="s">
        <v>89</v>
      </c>
      <c r="C64" s="40" t="s">
        <v>180</v>
      </c>
      <c r="D64" s="40" t="s">
        <v>460</v>
      </c>
      <c r="E64" s="41" t="s">
        <v>165</v>
      </c>
      <c r="F64" s="68"/>
      <c r="G64" s="69"/>
      <c r="H64" s="69"/>
      <c r="I64" s="68"/>
      <c r="J64" s="68"/>
      <c r="K64" s="70"/>
      <c r="L64" s="69"/>
      <c r="M64" s="69"/>
      <c r="N64" s="56" t="str">
        <f t="shared" si="0"/>
        <v>E-GEOD-16759: Microarray analysis of parietal lobe from Alzheimer's disease patients</v>
      </c>
    </row>
    <row r="65" spans="1:14" s="39" customFormat="1" ht="13.5" customHeight="1" x14ac:dyDescent="0.45">
      <c r="A65" s="80">
        <v>63</v>
      </c>
      <c r="B65" s="80" t="s">
        <v>90</v>
      </c>
      <c r="C65" s="40" t="s">
        <v>465</v>
      </c>
      <c r="D65" s="68"/>
      <c r="E65" s="41" t="s">
        <v>166</v>
      </c>
      <c r="F65" s="40" t="s">
        <v>472</v>
      </c>
      <c r="G65" s="42" t="s">
        <v>473</v>
      </c>
      <c r="H65" s="42" t="s">
        <v>468</v>
      </c>
      <c r="I65" s="40">
        <v>5</v>
      </c>
      <c r="J65" s="40">
        <v>7</v>
      </c>
      <c r="K65" s="43">
        <v>40192</v>
      </c>
      <c r="L65" s="42" t="s">
        <v>474</v>
      </c>
      <c r="M65" s="42" t="s">
        <v>470</v>
      </c>
      <c r="N65" s="56" t="str">
        <f t="shared" si="0"/>
        <v>E-MEXP-2280: Transcription profiling of patients with four neurodegenerative disorders distinguishes tauopathies and identifies shared molecular pathways</v>
      </c>
    </row>
    <row r="66" spans="1:14" s="39" customFormat="1" ht="13.5" customHeight="1" x14ac:dyDescent="0.45">
      <c r="A66" s="80">
        <v>64</v>
      </c>
      <c r="B66" s="81" t="s">
        <v>91</v>
      </c>
      <c r="C66" s="40" t="s">
        <v>180</v>
      </c>
      <c r="D66" s="40" t="s">
        <v>460</v>
      </c>
      <c r="E66" s="41" t="s">
        <v>167</v>
      </c>
      <c r="F66" s="68"/>
      <c r="G66" s="69"/>
      <c r="H66" s="69"/>
      <c r="I66" s="68"/>
      <c r="J66" s="68"/>
      <c r="K66" s="70"/>
      <c r="L66" s="69"/>
      <c r="M66" s="69"/>
      <c r="N66" s="56" t="str">
        <f t="shared" si="0"/>
        <v>E-GEOD-18309: Microarray analysis of peripheral blood monocytes from patients with Alzheimer's disease or mild cognitive impairment and healthy individuals</v>
      </c>
    </row>
    <row r="67" spans="1:14" s="39" customFormat="1" ht="13.5" customHeight="1" x14ac:dyDescent="0.45">
      <c r="A67" s="80">
        <v>65</v>
      </c>
      <c r="B67" s="81" t="s">
        <v>92</v>
      </c>
      <c r="C67" s="40" t="s">
        <v>180</v>
      </c>
      <c r="D67" s="40" t="s">
        <v>460</v>
      </c>
      <c r="E67" s="41" t="s">
        <v>168</v>
      </c>
      <c r="F67" s="68"/>
      <c r="G67" s="69"/>
      <c r="H67" s="69"/>
      <c r="I67" s="68"/>
      <c r="J67" s="68"/>
      <c r="K67" s="70"/>
      <c r="L67" s="69"/>
      <c r="M67" s="69"/>
      <c r="N67" s="56" t="str">
        <f t="shared" si="0"/>
        <v>E-GEOD-4757: Transcription profiling by array of human neurons with and without neurofibrillary tangles from patients with Alzheimer's disease</v>
      </c>
    </row>
    <row r="68" spans="1:14" s="39" customFormat="1" ht="13.5" customHeight="1" x14ac:dyDescent="0.45">
      <c r="A68" s="80">
        <v>66</v>
      </c>
      <c r="B68" s="81" t="s">
        <v>93</v>
      </c>
      <c r="C68" s="40" t="s">
        <v>180</v>
      </c>
      <c r="D68" s="40" t="s">
        <v>462</v>
      </c>
      <c r="E68" s="41" t="s">
        <v>169</v>
      </c>
      <c r="F68" s="68"/>
      <c r="G68" s="69"/>
      <c r="H68" s="69"/>
      <c r="I68" s="68"/>
      <c r="J68" s="68"/>
      <c r="K68" s="70"/>
      <c r="L68" s="69"/>
      <c r="M68" s="69"/>
      <c r="N68" s="56" t="str">
        <f t="shared" ref="N68:N78" si="1">HYPERLINK(_xlfn.CONCAT("https://www.ebi.ac.uk/arrayexpress/experiments/",B68), _xlfn.CONCAT(B68, ": ", E68))</f>
        <v>E-MEXP-1913: Transcription profiling of human neuroblastoma cell line SH-SY5Y transfected to produce phenotypes with low, medium or high levels of beta-amyloid peptides with 40 or 42 amino acids</v>
      </c>
    </row>
    <row r="69" spans="1:14" s="39" customFormat="1" ht="13.5" customHeight="1" x14ac:dyDescent="0.45">
      <c r="A69" s="80">
        <v>67</v>
      </c>
      <c r="B69" s="81" t="s">
        <v>94</v>
      </c>
      <c r="C69" s="40" t="s">
        <v>180</v>
      </c>
      <c r="D69" s="40" t="s">
        <v>460</v>
      </c>
      <c r="E69" s="41" t="s">
        <v>170</v>
      </c>
      <c r="F69" s="68"/>
      <c r="G69" s="69"/>
      <c r="H69" s="69"/>
      <c r="I69" s="68"/>
      <c r="J69" s="68"/>
      <c r="K69" s="70"/>
      <c r="L69" s="69"/>
      <c r="M69" s="69"/>
      <c r="N69" s="56" t="str">
        <f t="shared" si="1"/>
        <v>E-GEOD-14429: Transcription profiling by array of human HEK293 cells treated with the proteasome inhibitor epoxomicin</v>
      </c>
    </row>
    <row r="70" spans="1:14" s="39" customFormat="1" ht="13.5" customHeight="1" x14ac:dyDescent="0.45">
      <c r="A70" s="80">
        <v>68</v>
      </c>
      <c r="B70" s="81" t="s">
        <v>95</v>
      </c>
      <c r="C70" s="40" t="s">
        <v>180</v>
      </c>
      <c r="D70" s="40" t="s">
        <v>460</v>
      </c>
      <c r="E70" s="41" t="s">
        <v>171</v>
      </c>
      <c r="F70" s="68"/>
      <c r="G70" s="69"/>
      <c r="H70" s="69"/>
      <c r="I70" s="68"/>
      <c r="J70" s="68"/>
      <c r="K70" s="70"/>
      <c r="L70" s="69"/>
      <c r="M70" s="69"/>
      <c r="N70" s="56" t="str">
        <f t="shared" si="1"/>
        <v>E-GEOD-12685: Microarray analysis of synaptoneurosomes from prefrontal cortex of control and incipient Alzheimer's disease patients</v>
      </c>
    </row>
    <row r="71" spans="1:14" s="39" customFormat="1" ht="13.5" customHeight="1" x14ac:dyDescent="0.45">
      <c r="A71" s="80">
        <v>69</v>
      </c>
      <c r="B71" s="81" t="s">
        <v>96</v>
      </c>
      <c r="C71" s="40" t="s">
        <v>180</v>
      </c>
      <c r="D71" s="40" t="s">
        <v>460</v>
      </c>
      <c r="E71" s="41" t="s">
        <v>172</v>
      </c>
      <c r="F71" s="68"/>
      <c r="G71" s="69"/>
      <c r="H71" s="69"/>
      <c r="I71" s="68"/>
      <c r="J71" s="68"/>
      <c r="K71" s="70"/>
      <c r="L71" s="69"/>
      <c r="M71" s="69"/>
      <c r="N71" s="56" t="str">
        <f t="shared" si="1"/>
        <v>E-GEOD-6613: Microarray analysis of blood of individuals with early Parkinson's disease</v>
      </c>
    </row>
    <row r="72" spans="1:14" s="39" customFormat="1" ht="13.5" customHeight="1" x14ac:dyDescent="0.45">
      <c r="A72" s="80">
        <v>70</v>
      </c>
      <c r="B72" s="81" t="s">
        <v>97</v>
      </c>
      <c r="C72" s="40" t="s">
        <v>180</v>
      </c>
      <c r="D72" s="40" t="s">
        <v>460</v>
      </c>
      <c r="E72" s="41" t="s">
        <v>173</v>
      </c>
      <c r="F72" s="68"/>
      <c r="G72" s="69"/>
      <c r="H72" s="69"/>
      <c r="I72" s="68"/>
      <c r="J72" s="68"/>
      <c r="K72" s="70"/>
      <c r="L72" s="69"/>
      <c r="M72" s="69"/>
      <c r="N72" s="56" t="str">
        <f t="shared" si="1"/>
        <v>E-GEOD-6276: Transcription profiling of human cells embryonic kidney cells (HEK 293 cell line) overexpressing different isoforms of hIMP1 protein</v>
      </c>
    </row>
    <row r="73" spans="1:14" s="39" customFormat="1" ht="13.5" customHeight="1" x14ac:dyDescent="0.45">
      <c r="A73" s="80">
        <v>71</v>
      </c>
      <c r="B73" s="81" t="s">
        <v>98</v>
      </c>
      <c r="C73" s="40" t="s">
        <v>180</v>
      </c>
      <c r="D73" s="40" t="s">
        <v>471</v>
      </c>
      <c r="E73" s="41" t="s">
        <v>174</v>
      </c>
      <c r="F73" s="68"/>
      <c r="G73" s="69"/>
      <c r="H73" s="69"/>
      <c r="I73" s="68"/>
      <c r="J73" s="68"/>
      <c r="K73" s="70"/>
      <c r="L73" s="69"/>
      <c r="M73" s="69"/>
      <c r="N73" s="56" t="str">
        <f t="shared" si="1"/>
        <v>E-TABM-185: Transcription profiling by array of integrated human experiments involving the hgu133a platform to investigate a global map of human gene expression</v>
      </c>
    </row>
    <row r="74" spans="1:14" s="39" customFormat="1" ht="13.5" customHeight="1" x14ac:dyDescent="0.45">
      <c r="A74" s="80">
        <v>72</v>
      </c>
      <c r="B74" s="81" t="s">
        <v>99</v>
      </c>
      <c r="C74" s="40" t="s">
        <v>180</v>
      </c>
      <c r="D74" s="40" t="s">
        <v>460</v>
      </c>
      <c r="E74" s="41" t="s">
        <v>175</v>
      </c>
      <c r="F74" s="68"/>
      <c r="G74" s="69"/>
      <c r="H74" s="69"/>
      <c r="I74" s="68"/>
      <c r="J74" s="68"/>
      <c r="K74" s="70"/>
      <c r="L74" s="69"/>
      <c r="M74" s="69"/>
      <c r="N74" s="56" t="str">
        <f t="shared" si="1"/>
        <v>E-GEOD-1297: Transcription profiling by array of hippocampus from patients with Alzheimer's disease of varying severity</v>
      </c>
    </row>
    <row r="75" spans="1:14" s="39" customFormat="1" ht="13.5" customHeight="1" x14ac:dyDescent="0.45">
      <c r="A75" s="80">
        <v>73</v>
      </c>
      <c r="B75" s="81" t="s">
        <v>100</v>
      </c>
      <c r="C75" s="40" t="s">
        <v>180</v>
      </c>
      <c r="D75" s="40" t="s">
        <v>460</v>
      </c>
      <c r="E75" s="41" t="s">
        <v>176</v>
      </c>
      <c r="F75" s="68"/>
      <c r="G75" s="69"/>
      <c r="H75" s="69"/>
      <c r="I75" s="68"/>
      <c r="J75" s="68"/>
      <c r="K75" s="70"/>
      <c r="L75" s="69"/>
      <c r="M75" s="69"/>
      <c r="N75" s="56" t="str">
        <f t="shared" si="1"/>
        <v>E-GEOD-4097: Transcription profiling of human SHEP-SF cells expressing AICD and Fe65</v>
      </c>
    </row>
    <row r="76" spans="1:14" s="39" customFormat="1" ht="13.5" customHeight="1" x14ac:dyDescent="0.45">
      <c r="A76" s="80">
        <v>74</v>
      </c>
      <c r="B76" s="81" t="s">
        <v>101</v>
      </c>
      <c r="C76" s="40" t="s">
        <v>180</v>
      </c>
      <c r="D76" s="40" t="s">
        <v>460</v>
      </c>
      <c r="E76" s="41" t="s">
        <v>177</v>
      </c>
      <c r="F76" s="68"/>
      <c r="G76" s="69"/>
      <c r="H76" s="69"/>
      <c r="I76" s="68"/>
      <c r="J76" s="68"/>
      <c r="K76" s="70"/>
      <c r="L76" s="69"/>
      <c r="M76" s="69"/>
      <c r="N76" s="56" t="str">
        <f t="shared" si="1"/>
        <v>E-GEOD-6834: Temporal lobe epilepsy and Alzheimer's disease</v>
      </c>
    </row>
    <row r="77" spans="1:14" s="39" customFormat="1" ht="13.5" customHeight="1" x14ac:dyDescent="0.45">
      <c r="A77" s="80">
        <v>75</v>
      </c>
      <c r="B77" s="81" t="s">
        <v>102</v>
      </c>
      <c r="C77" s="40" t="s">
        <v>180</v>
      </c>
      <c r="D77" s="40" t="s">
        <v>460</v>
      </c>
      <c r="E77" s="41" t="s">
        <v>178</v>
      </c>
      <c r="F77" s="68"/>
      <c r="G77" s="69"/>
      <c r="H77" s="69"/>
      <c r="I77" s="68"/>
      <c r="J77" s="68"/>
      <c r="K77" s="70"/>
      <c r="L77" s="69"/>
      <c r="M77" s="69"/>
      <c r="N77" s="56" t="str">
        <f t="shared" si="1"/>
        <v>E-GEOD-6771: Temporal Cortex Control (mesial temporal lobe epilepsy control)</v>
      </c>
    </row>
    <row r="78" spans="1:14" s="39" customFormat="1" ht="13.5" customHeight="1" x14ac:dyDescent="0.45">
      <c r="A78" s="80">
        <v>76</v>
      </c>
      <c r="B78" s="81" t="s">
        <v>103</v>
      </c>
      <c r="C78" s="40" t="s">
        <v>180</v>
      </c>
      <c r="D78" s="40" t="s">
        <v>460</v>
      </c>
      <c r="E78" s="41" t="s">
        <v>179</v>
      </c>
      <c r="F78" s="68"/>
      <c r="G78" s="69"/>
      <c r="H78" s="69"/>
      <c r="I78" s="68"/>
      <c r="J78" s="68"/>
      <c r="K78" s="70"/>
      <c r="L78" s="69"/>
      <c r="M78" s="69"/>
      <c r="N78" s="56" t="str">
        <f t="shared" si="1"/>
        <v>E-GEOD-5281: Microarray analysis of six brain areas from Alzheimers disease patients and normal individuals</v>
      </c>
    </row>
    <row r="79" spans="1:14" ht="13.5" customHeight="1" x14ac:dyDescent="0.45">
      <c r="A79" s="73"/>
      <c r="B79" s="74"/>
    </row>
    <row r="80" spans="1:14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</sheetData>
  <autoFilter ref="D2:D78" xr:uid="{8A4DBBA3-BCD7-4B76-8A5E-7D4B96E190C3}"/>
  <dataValidations count="2">
    <dataValidation type="list" allowBlank="1" showInputMessage="1" showErrorMessage="1" sqref="D1:D1048576" xr:uid="{762B989A-9E4E-4C55-B4F6-906583729342}">
      <formula1>"Duplicate Study, Duplicate Study (GEO), Reanalysis, Not Human, Not Expression Profiling, Not Brain Tissue, Not Case-Control, Not Disease in Question, Cell-Line or Other Disease Model, Demonstrating Treatment Effects"</formula1>
    </dataValidation>
    <dataValidation type="list" allowBlank="1" showInputMessage="1" showErrorMessage="1" sqref="C1:C1048576" xr:uid="{DF58E0F9-382C-4632-841A-1E710EDBC1A2}">
      <formula1>"No, Yes"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7484-4F85-4D27-A45A-2684C7670B0A}">
  <dimension ref="A1:Q200"/>
  <sheetViews>
    <sheetView zoomScale="75" zoomScaleNormal="75" workbookViewId="0">
      <pane ySplit="2" topLeftCell="A3" activePane="bottomLeft" state="frozen"/>
      <selection pane="bottomLeft"/>
    </sheetView>
  </sheetViews>
  <sheetFormatPr defaultRowHeight="13.5" x14ac:dyDescent="0.45"/>
  <cols>
    <col min="1" max="1" width="6.9296875" style="72" customWidth="1"/>
    <col min="2" max="2" width="20.3984375" style="71" customWidth="1"/>
    <col min="3" max="3" width="14" style="2" customWidth="1"/>
    <col min="4" max="4" width="46.1328125" style="2" customWidth="1"/>
    <col min="5" max="5" width="30.59765625" style="4" customWidth="1"/>
    <col min="6" max="6" width="15.59765625" style="2" customWidth="1"/>
    <col min="7" max="7" width="23.59765625" style="6" customWidth="1"/>
    <col min="8" max="8" width="9.59765625" style="6" customWidth="1"/>
    <col min="9" max="10" width="12.59765625" style="2" customWidth="1"/>
    <col min="11" max="11" width="13.59765625" style="5" customWidth="1"/>
    <col min="12" max="12" width="31.86328125" style="6" customWidth="1"/>
    <col min="13" max="13" width="26.6640625" style="6" customWidth="1"/>
    <col min="14" max="14" width="170.796875" style="19" bestFit="1" customWidth="1"/>
    <col min="15" max="16384" width="9.06640625" style="3"/>
  </cols>
  <sheetData>
    <row r="1" spans="1:17" s="30" customFormat="1" ht="25.9" customHeight="1" thickBot="1" x14ac:dyDescent="0.5">
      <c r="A1" s="30" t="s">
        <v>511</v>
      </c>
      <c r="E1" s="31"/>
      <c r="G1" s="31"/>
      <c r="H1" s="31"/>
      <c r="K1" s="32"/>
      <c r="L1" s="31"/>
      <c r="M1" s="31"/>
      <c r="N1" s="33"/>
    </row>
    <row r="2" spans="1:17" s="12" customFormat="1" ht="20.350000000000001" customHeight="1" x14ac:dyDescent="0.45">
      <c r="A2" s="8" t="s">
        <v>16</v>
      </c>
      <c r="B2" s="8" t="s">
        <v>20</v>
      </c>
      <c r="C2" s="9" t="s">
        <v>1</v>
      </c>
      <c r="D2" s="8" t="s">
        <v>3</v>
      </c>
      <c r="E2" s="10" t="s">
        <v>12</v>
      </c>
      <c r="F2" s="9" t="s">
        <v>8</v>
      </c>
      <c r="G2" s="10" t="s">
        <v>5</v>
      </c>
      <c r="H2" s="10" t="s">
        <v>13</v>
      </c>
      <c r="I2" s="9" t="s">
        <v>7</v>
      </c>
      <c r="J2" s="9" t="s">
        <v>6</v>
      </c>
      <c r="K2" s="11" t="s">
        <v>14</v>
      </c>
      <c r="L2" s="10" t="s">
        <v>9</v>
      </c>
      <c r="M2" s="10" t="s">
        <v>10</v>
      </c>
      <c r="N2" s="16" t="s">
        <v>11</v>
      </c>
      <c r="O2" s="17"/>
      <c r="P2" s="17"/>
      <c r="Q2" s="17"/>
    </row>
    <row r="3" spans="1:17" s="39" customFormat="1" ht="13.5" customHeight="1" x14ac:dyDescent="0.45">
      <c r="A3" s="80">
        <v>1</v>
      </c>
      <c r="B3" s="81" t="s">
        <v>316</v>
      </c>
      <c r="C3" s="40" t="s">
        <v>180</v>
      </c>
      <c r="D3" s="40" t="s">
        <v>464</v>
      </c>
      <c r="E3" s="41" t="s">
        <v>388</v>
      </c>
      <c r="F3" s="68"/>
      <c r="G3" s="69"/>
      <c r="H3" s="69"/>
      <c r="I3" s="68"/>
      <c r="J3" s="68"/>
      <c r="K3" s="70"/>
      <c r="L3" s="69"/>
      <c r="M3" s="69"/>
      <c r="N3" s="56" t="str">
        <f>HYPERLINK(_xlfn.CONCAT("https://www.ebi.ac.uk/arrayexpress/experiments/",B3), _xlfn.CONCAT(B3, ": ", E3))</f>
        <v>E-MTAB-6667: Identification of cis-eQTLs in six immune cell types CD4, CD8, CD14,CD15, CD19, PLA and ileal, colonic and rectal biopsies in 323 healthy European individuals (CEDAR cohort)</v>
      </c>
    </row>
    <row r="4" spans="1:17" s="39" customFormat="1" ht="13.5" customHeight="1" x14ac:dyDescent="0.45">
      <c r="A4" s="80">
        <v>2</v>
      </c>
      <c r="B4" s="81" t="s">
        <v>317</v>
      </c>
      <c r="C4" s="40" t="s">
        <v>180</v>
      </c>
      <c r="D4" s="40" t="s">
        <v>463</v>
      </c>
      <c r="E4" s="41" t="s">
        <v>389</v>
      </c>
      <c r="F4" s="68"/>
      <c r="G4" s="69"/>
      <c r="H4" s="69"/>
      <c r="I4" s="68"/>
      <c r="J4" s="68"/>
      <c r="K4" s="70"/>
      <c r="L4" s="69"/>
      <c r="M4" s="69"/>
      <c r="N4" s="56" t="str">
        <f t="shared" ref="N4:N67" si="0">HYPERLINK(_xlfn.CONCAT("https://www.ebi.ac.uk/arrayexpress/experiments/",B4), _xlfn.CONCAT(B4, ": ", E4))</f>
        <v>E-MTAB-4164: Transcription profiling by array of rotenone treated olfactory cells derived from patients with Parkinson?s disease and healthy controls</v>
      </c>
    </row>
    <row r="5" spans="1:17" s="39" customFormat="1" ht="13.5" customHeight="1" x14ac:dyDescent="0.45">
      <c r="A5" s="80">
        <v>3</v>
      </c>
      <c r="B5" s="81" t="s">
        <v>318</v>
      </c>
      <c r="C5" s="40" t="s">
        <v>180</v>
      </c>
      <c r="D5" s="40" t="s">
        <v>462</v>
      </c>
      <c r="E5" s="41" t="s">
        <v>390</v>
      </c>
      <c r="F5" s="68"/>
      <c r="G5" s="69"/>
      <c r="H5" s="69"/>
      <c r="I5" s="68"/>
      <c r="J5" s="68"/>
      <c r="K5" s="70"/>
      <c r="L5" s="69"/>
      <c r="M5" s="69"/>
      <c r="N5" s="56" t="str">
        <f t="shared" si="0"/>
        <v>E-GEOD-70845: Gene expression profiling of SHSY5Y cells exposed to manganese</v>
      </c>
    </row>
    <row r="6" spans="1:17" s="39" customFormat="1" ht="13.5" customHeight="1" x14ac:dyDescent="0.45">
      <c r="A6" s="80">
        <v>4</v>
      </c>
      <c r="B6" s="81" t="s">
        <v>33</v>
      </c>
      <c r="C6" s="40" t="s">
        <v>180</v>
      </c>
      <c r="D6" s="40" t="s">
        <v>460</v>
      </c>
      <c r="E6" s="41" t="s">
        <v>109</v>
      </c>
      <c r="F6" s="68"/>
      <c r="G6" s="69"/>
      <c r="H6" s="69"/>
      <c r="I6" s="68"/>
      <c r="J6" s="68"/>
      <c r="K6" s="70"/>
      <c r="L6" s="69"/>
      <c r="M6" s="69"/>
      <c r="N6" s="56" t="str">
        <f t="shared" si="0"/>
        <v>E-GEOD-77668: Expression mRNA and miRNA data from human postmortem putamen samples measured using the NanoString nCounter platform</v>
      </c>
    </row>
    <row r="7" spans="1:17" s="39" customFormat="1" ht="13.5" customHeight="1" x14ac:dyDescent="0.45">
      <c r="A7" s="80">
        <v>5</v>
      </c>
      <c r="B7" s="81" t="s">
        <v>34</v>
      </c>
      <c r="C7" s="40" t="s">
        <v>180</v>
      </c>
      <c r="D7" s="40" t="s">
        <v>181</v>
      </c>
      <c r="E7" s="41" t="s">
        <v>110</v>
      </c>
      <c r="F7" s="68"/>
      <c r="G7" s="69"/>
      <c r="H7" s="69"/>
      <c r="I7" s="68"/>
      <c r="J7" s="68"/>
      <c r="K7" s="70"/>
      <c r="L7" s="69"/>
      <c r="M7" s="69"/>
      <c r="N7" s="56" t="str">
        <f t="shared" si="0"/>
        <v>E-GEOD-77667: Expression miRNA data from human postmortem putamen samples measured using the NanoString nCounter platform</v>
      </c>
    </row>
    <row r="8" spans="1:17" s="39" customFormat="1" ht="13.5" customHeight="1" x14ac:dyDescent="0.45">
      <c r="A8" s="80">
        <v>6</v>
      </c>
      <c r="B8" s="81" t="s">
        <v>35</v>
      </c>
      <c r="C8" s="40" t="s">
        <v>180</v>
      </c>
      <c r="D8" s="40" t="s">
        <v>460</v>
      </c>
      <c r="E8" s="41" t="s">
        <v>111</v>
      </c>
      <c r="F8" s="68"/>
      <c r="G8" s="69"/>
      <c r="H8" s="69"/>
      <c r="I8" s="68"/>
      <c r="J8" s="68"/>
      <c r="K8" s="70"/>
      <c r="L8" s="69"/>
      <c r="M8" s="69"/>
      <c r="N8" s="56" t="str">
        <f t="shared" si="0"/>
        <v>E-GEOD-77666: Expression mRNA data from human postmortem putamen samples measured using the NanoString nCounter platform</v>
      </c>
    </row>
    <row r="9" spans="1:17" s="39" customFormat="1" ht="13.5" customHeight="1" x14ac:dyDescent="0.45">
      <c r="A9" s="80">
        <v>7</v>
      </c>
      <c r="B9" s="81" t="s">
        <v>319</v>
      </c>
      <c r="C9" s="40" t="s">
        <v>180</v>
      </c>
      <c r="D9" s="40" t="s">
        <v>460</v>
      </c>
      <c r="E9" s="41" t="s">
        <v>391</v>
      </c>
      <c r="F9" s="68"/>
      <c r="G9" s="69"/>
      <c r="H9" s="69"/>
      <c r="I9" s="68"/>
      <c r="J9" s="68"/>
      <c r="K9" s="70"/>
      <c r="L9" s="69"/>
      <c r="M9" s="69"/>
      <c r="N9" s="56" t="str">
        <f t="shared" si="0"/>
        <v>E-GEOD-47921: Human adult white matter progenitor cells are multipotent neuroprogenitors identical  to adult hippocampal progenitors</v>
      </c>
    </row>
    <row r="10" spans="1:17" s="39" customFormat="1" ht="13.5" customHeight="1" x14ac:dyDescent="0.45">
      <c r="A10" s="80">
        <v>8</v>
      </c>
      <c r="B10" s="81" t="s">
        <v>320</v>
      </c>
      <c r="C10" s="40" t="s">
        <v>180</v>
      </c>
      <c r="D10" s="40" t="s">
        <v>460</v>
      </c>
      <c r="E10" s="41" t="s">
        <v>392</v>
      </c>
      <c r="F10" s="68"/>
      <c r="G10" s="69"/>
      <c r="H10" s="69"/>
      <c r="I10" s="68"/>
      <c r="J10" s="68"/>
      <c r="K10" s="70"/>
      <c r="L10" s="69"/>
      <c r="M10" s="69"/>
      <c r="N10" s="56" t="str">
        <f t="shared" si="0"/>
        <v>E-GEOD-78152: Derivation, characterization, and neuronal differentitation of integration-free induced pluripotent stem cell lines from Parkinsons disease patients carrying SNCA, LRRK2, PARK2, and GBA mutations</v>
      </c>
    </row>
    <row r="11" spans="1:17" s="39" customFormat="1" ht="13.5" customHeight="1" x14ac:dyDescent="0.45">
      <c r="A11" s="80">
        <v>9</v>
      </c>
      <c r="B11" s="81" t="s">
        <v>321</v>
      </c>
      <c r="C11" s="40" t="s">
        <v>180</v>
      </c>
      <c r="D11" s="40" t="s">
        <v>460</v>
      </c>
      <c r="E11" s="41" t="s">
        <v>393</v>
      </c>
      <c r="F11" s="68"/>
      <c r="G11" s="69"/>
      <c r="H11" s="69"/>
      <c r="I11" s="68"/>
      <c r="J11" s="68"/>
      <c r="K11" s="70"/>
      <c r="L11" s="69"/>
      <c r="M11" s="69"/>
      <c r="N11" s="56" t="str">
        <f t="shared" si="0"/>
        <v>E-GEOD-77664: Gene expression and SNP genotype data from induced Pluripotent Stem cells from Parkinson's Disease patients harbouring G2019S mutations in the LRRK2 gene</v>
      </c>
    </row>
    <row r="12" spans="1:17" s="39" customFormat="1" ht="13.5" customHeight="1" x14ac:dyDescent="0.45">
      <c r="A12" s="80">
        <v>10</v>
      </c>
      <c r="B12" s="81" t="s">
        <v>322</v>
      </c>
      <c r="C12" s="40" t="s">
        <v>180</v>
      </c>
      <c r="D12" s="40" t="s">
        <v>460</v>
      </c>
      <c r="E12" s="41" t="s">
        <v>394</v>
      </c>
      <c r="F12" s="68"/>
      <c r="G12" s="69"/>
      <c r="H12" s="69"/>
      <c r="I12" s="68"/>
      <c r="J12" s="68"/>
      <c r="K12" s="70"/>
      <c r="L12" s="69"/>
      <c r="M12" s="69"/>
      <c r="N12" s="56" t="str">
        <f t="shared" si="0"/>
        <v>E-GEOD-77663: Gene expression data from induced Pluripotent Stem cells from Parkinson's Disease patients harbouring G2019S mutations in the LRRK2 gene</v>
      </c>
    </row>
    <row r="13" spans="1:17" s="39" customFormat="1" ht="13.5" customHeight="1" x14ac:dyDescent="0.45">
      <c r="A13" s="80">
        <v>11</v>
      </c>
      <c r="B13" s="81" t="s">
        <v>323</v>
      </c>
      <c r="C13" s="40" t="s">
        <v>180</v>
      </c>
      <c r="D13" s="40" t="s">
        <v>460</v>
      </c>
      <c r="E13" s="41" t="s">
        <v>395</v>
      </c>
      <c r="F13" s="68"/>
      <c r="G13" s="69"/>
      <c r="H13" s="69"/>
      <c r="I13" s="68"/>
      <c r="J13" s="68"/>
      <c r="K13" s="70"/>
      <c r="L13" s="69"/>
      <c r="M13" s="69"/>
      <c r="N13" s="56" t="str">
        <f t="shared" si="0"/>
        <v>E-GEOD-72267: Microarray analysis of blood of 40 sporadic Parkinson's disease patients and 20 healthy controls</v>
      </c>
    </row>
    <row r="14" spans="1:17" s="39" customFormat="1" ht="13.5" customHeight="1" x14ac:dyDescent="0.45">
      <c r="A14" s="80">
        <v>12</v>
      </c>
      <c r="B14" s="81" t="s">
        <v>41</v>
      </c>
      <c r="C14" s="40" t="s">
        <v>180</v>
      </c>
      <c r="D14" s="40" t="s">
        <v>471</v>
      </c>
      <c r="E14" s="41" t="s">
        <v>117</v>
      </c>
      <c r="F14" s="68"/>
      <c r="G14" s="69"/>
      <c r="H14" s="69"/>
      <c r="I14" s="68"/>
      <c r="J14" s="68"/>
      <c r="K14" s="70"/>
      <c r="L14" s="69"/>
      <c r="M14" s="69"/>
      <c r="N14" s="56" t="str">
        <f t="shared" si="0"/>
        <v>E-MTAB-3732: A comprehensive human expression map</v>
      </c>
    </row>
    <row r="15" spans="1:17" s="39" customFormat="1" ht="13.5" customHeight="1" x14ac:dyDescent="0.45">
      <c r="A15" s="80">
        <v>13</v>
      </c>
      <c r="B15" s="81" t="s">
        <v>324</v>
      </c>
      <c r="C15" s="40" t="s">
        <v>180</v>
      </c>
      <c r="D15" s="40" t="s">
        <v>460</v>
      </c>
      <c r="E15" s="41" t="s">
        <v>396</v>
      </c>
      <c r="F15" s="68"/>
      <c r="G15" s="69"/>
      <c r="H15" s="69"/>
      <c r="I15" s="68"/>
      <c r="J15" s="68"/>
      <c r="K15" s="70"/>
      <c r="L15" s="69"/>
      <c r="M15" s="69"/>
      <c r="N15" s="56" t="str">
        <f t="shared" si="0"/>
        <v>E-GEOD-71220: The effect of statins on blood gene expression in COPD</v>
      </c>
    </row>
    <row r="16" spans="1:17" s="39" customFormat="1" ht="13.5" customHeight="1" x14ac:dyDescent="0.45">
      <c r="A16" s="80">
        <v>14</v>
      </c>
      <c r="B16" s="81" t="s">
        <v>325</v>
      </c>
      <c r="C16" s="40" t="s">
        <v>180</v>
      </c>
      <c r="D16" s="40" t="s">
        <v>460</v>
      </c>
      <c r="E16" s="41" t="s">
        <v>397</v>
      </c>
      <c r="F16" s="68"/>
      <c r="G16" s="69"/>
      <c r="H16" s="69"/>
      <c r="I16" s="68"/>
      <c r="J16" s="68"/>
      <c r="K16" s="70"/>
      <c r="L16" s="69"/>
      <c r="M16" s="69"/>
      <c r="N16" s="56" t="str">
        <f t="shared" si="0"/>
        <v>E-GEOD-64266: Gene expression profiles of PD fibroblasts treated by SNCA expression-control RNAi</v>
      </c>
    </row>
    <row r="17" spans="1:14" s="39" customFormat="1" ht="13.5" customHeight="1" x14ac:dyDescent="0.45">
      <c r="A17" s="80">
        <v>15</v>
      </c>
      <c r="B17" s="81" t="s">
        <v>326</v>
      </c>
      <c r="C17" s="40" t="s">
        <v>180</v>
      </c>
      <c r="D17" s="40" t="s">
        <v>460</v>
      </c>
      <c r="E17" s="41" t="s">
        <v>398</v>
      </c>
      <c r="F17" s="68"/>
      <c r="G17" s="69"/>
      <c r="H17" s="69"/>
      <c r="I17" s="68"/>
      <c r="J17" s="68"/>
      <c r="K17" s="70"/>
      <c r="L17" s="69"/>
      <c r="M17" s="69"/>
      <c r="N17" s="56" t="str">
        <f t="shared" si="0"/>
        <v>E-GEOD-37591: Human Splice Junction Arrays of Parkinson's Patients Leukocytes mRNA Pre- and Post-Deep Brain Stimulation</v>
      </c>
    </row>
    <row r="18" spans="1:14" s="39" customFormat="1" ht="13.5" customHeight="1" x14ac:dyDescent="0.45">
      <c r="A18" s="80">
        <v>16</v>
      </c>
      <c r="B18" s="81" t="s">
        <v>43</v>
      </c>
      <c r="C18" s="40" t="s">
        <v>180</v>
      </c>
      <c r="D18" s="40" t="s">
        <v>464</v>
      </c>
      <c r="E18" s="41" t="s">
        <v>119</v>
      </c>
      <c r="F18" s="68"/>
      <c r="G18" s="69"/>
      <c r="H18" s="69"/>
      <c r="I18" s="68"/>
      <c r="J18" s="68"/>
      <c r="K18" s="70"/>
      <c r="L18" s="69"/>
      <c r="M18" s="69"/>
      <c r="N18" s="56" t="str">
        <f t="shared" si="0"/>
        <v>E-MTAB-2325: Gene expression profiles in motor cortex of Control and Sporadic Amyotrphic Lateral Sclerosis patients</v>
      </c>
    </row>
    <row r="19" spans="1:14" s="39" customFormat="1" ht="13.5" customHeight="1" x14ac:dyDescent="0.45">
      <c r="A19" s="80">
        <v>17</v>
      </c>
      <c r="B19" s="81" t="s">
        <v>327</v>
      </c>
      <c r="C19" s="40" t="s">
        <v>180</v>
      </c>
      <c r="D19" s="40" t="s">
        <v>460</v>
      </c>
      <c r="E19" s="41" t="s">
        <v>399</v>
      </c>
      <c r="F19" s="68"/>
      <c r="G19" s="69"/>
      <c r="H19" s="69"/>
      <c r="I19" s="68"/>
      <c r="J19" s="68"/>
      <c r="K19" s="70"/>
      <c r="L19" s="69"/>
      <c r="M19" s="69"/>
      <c r="N19" s="56" t="str">
        <f t="shared" si="0"/>
        <v>E-GEOD-43490: Microarray analysis of dorsal motor vagal nucleus, locus coeruleus and substantia nigra from postmortem samples of idiopathic Parkinson's disease patients in Braak stages 4-5</v>
      </c>
    </row>
    <row r="20" spans="1:14" s="39" customFormat="1" ht="13.5" customHeight="1" x14ac:dyDescent="0.45">
      <c r="A20" s="80">
        <v>18</v>
      </c>
      <c r="B20" s="81" t="s">
        <v>328</v>
      </c>
      <c r="C20" s="40" t="s">
        <v>180</v>
      </c>
      <c r="D20" s="40" t="s">
        <v>460</v>
      </c>
      <c r="E20" s="41" t="s">
        <v>400</v>
      </c>
      <c r="F20" s="68"/>
      <c r="G20" s="69"/>
      <c r="H20" s="69"/>
      <c r="I20" s="68"/>
      <c r="J20" s="68"/>
      <c r="K20" s="70"/>
      <c r="L20" s="69"/>
      <c r="M20" s="69"/>
      <c r="N20" s="56" t="str">
        <f t="shared" si="0"/>
        <v>E-GEOD-54282: System-based analyses of brain regions functionally impacted in Parkinson's disease reveals underlying causal mechanisms</v>
      </c>
    </row>
    <row r="21" spans="1:14" s="39" customFormat="1" ht="13.5" customHeight="1" x14ac:dyDescent="0.45">
      <c r="A21" s="80">
        <v>19</v>
      </c>
      <c r="B21" s="81" t="s">
        <v>329</v>
      </c>
      <c r="C21" s="40" t="s">
        <v>180</v>
      </c>
      <c r="D21" s="40" t="s">
        <v>460</v>
      </c>
      <c r="E21" s="41" t="s">
        <v>401</v>
      </c>
      <c r="F21" s="68"/>
      <c r="G21" s="69"/>
      <c r="H21" s="69"/>
      <c r="I21" s="68"/>
      <c r="J21" s="68"/>
      <c r="K21" s="70"/>
      <c r="L21" s="69"/>
      <c r="M21" s="69"/>
      <c r="N21" s="56" t="str">
        <f t="shared" si="0"/>
        <v>E-GEOD-53351: Large-scale East-Asian eQTL mapping reveals novel candidate genes for LD mapping and the genomic landscape of transcriptional effects of sequence variants</v>
      </c>
    </row>
    <row r="22" spans="1:14" s="39" customFormat="1" ht="13.5" customHeight="1" x14ac:dyDescent="0.45">
      <c r="A22" s="80">
        <v>20</v>
      </c>
      <c r="B22" s="81" t="s">
        <v>330</v>
      </c>
      <c r="C22" s="40" t="s">
        <v>180</v>
      </c>
      <c r="D22" s="40" t="s">
        <v>464</v>
      </c>
      <c r="E22" s="41" t="s">
        <v>402</v>
      </c>
      <c r="F22" s="68"/>
      <c r="G22" s="69"/>
      <c r="H22" s="69"/>
      <c r="I22" s="68"/>
      <c r="J22" s="68"/>
      <c r="K22" s="70"/>
      <c r="L22" s="69"/>
      <c r="M22" s="69"/>
      <c r="N22" s="56" t="str">
        <f t="shared" si="0"/>
        <v>E-MTAB-2374: Transcriptional profiling of cerebrospinal fluid cells of multiple sclerosis patients</v>
      </c>
    </row>
    <row r="23" spans="1:14" s="39" customFormat="1" ht="13.5" customHeight="1" x14ac:dyDescent="0.45">
      <c r="A23" s="80">
        <v>21</v>
      </c>
      <c r="B23" s="81" t="s">
        <v>331</v>
      </c>
      <c r="C23" s="40" t="s">
        <v>180</v>
      </c>
      <c r="D23" s="40" t="s">
        <v>460</v>
      </c>
      <c r="E23" s="41" t="s">
        <v>403</v>
      </c>
      <c r="F23" s="68"/>
      <c r="G23" s="69"/>
      <c r="H23" s="69"/>
      <c r="I23" s="68"/>
      <c r="J23" s="68"/>
      <c r="K23" s="70"/>
      <c r="L23" s="69"/>
      <c r="M23" s="69"/>
      <c r="N23" s="56" t="str">
        <f t="shared" si="0"/>
        <v>E-GEOD-51214: Isolation of human iPSC-derived dopaminergic progenitors by cell sorting</v>
      </c>
    </row>
    <row r="24" spans="1:14" s="39" customFormat="1" ht="13.5" customHeight="1" x14ac:dyDescent="0.45">
      <c r="A24" s="80">
        <v>22</v>
      </c>
      <c r="B24" s="81" t="s">
        <v>332</v>
      </c>
      <c r="C24" s="40" t="s">
        <v>180</v>
      </c>
      <c r="D24" s="40" t="s">
        <v>460</v>
      </c>
      <c r="E24" s="41" t="s">
        <v>404</v>
      </c>
      <c r="F24" s="68"/>
      <c r="G24" s="69"/>
      <c r="H24" s="69"/>
      <c r="I24" s="68"/>
      <c r="J24" s="68"/>
      <c r="K24" s="70"/>
      <c r="L24" s="69"/>
      <c r="M24" s="69"/>
      <c r="N24" s="56" t="str">
        <f t="shared" si="0"/>
        <v>E-GEOD-54536: Involvement of endocytosis and alternative splicing in the formation of the pathological process in Parkinson's Disease</v>
      </c>
    </row>
    <row r="25" spans="1:14" s="39" customFormat="1" ht="13.5" customHeight="1" x14ac:dyDescent="0.45">
      <c r="A25" s="80">
        <v>23</v>
      </c>
      <c r="B25" s="81" t="s">
        <v>56</v>
      </c>
      <c r="C25" s="40" t="s">
        <v>180</v>
      </c>
      <c r="D25" s="40" t="s">
        <v>460</v>
      </c>
      <c r="E25" s="41" t="s">
        <v>132</v>
      </c>
      <c r="F25" s="68"/>
      <c r="G25" s="69"/>
      <c r="H25" s="69"/>
      <c r="I25" s="68"/>
      <c r="J25" s="68"/>
      <c r="K25" s="70"/>
      <c r="L25" s="69"/>
      <c r="M25" s="69"/>
      <c r="N25" s="56" t="str">
        <f t="shared" si="0"/>
        <v>E-GEOD-44805: Capturing the biological impact of the melanoma susceptibility genes CDKN2A and MC1R in  cocultured keratinocytes and melanocytes</v>
      </c>
    </row>
    <row r="26" spans="1:14" s="39" customFormat="1" ht="13.5" customHeight="1" x14ac:dyDescent="0.45">
      <c r="A26" s="80">
        <v>24</v>
      </c>
      <c r="B26" s="81" t="s">
        <v>333</v>
      </c>
      <c r="C26" s="40" t="s">
        <v>180</v>
      </c>
      <c r="D26" s="40" t="s">
        <v>460</v>
      </c>
      <c r="E26" s="41" t="s">
        <v>405</v>
      </c>
      <c r="F26" s="68"/>
      <c r="G26" s="69"/>
      <c r="H26" s="69"/>
      <c r="I26" s="68"/>
      <c r="J26" s="68"/>
      <c r="K26" s="70"/>
      <c r="L26" s="69"/>
      <c r="M26" s="69"/>
      <c r="N26" s="56" t="str">
        <f t="shared" si="0"/>
        <v>E-GEOD-53426: Gene expression and genotype data from human fibroblasts and induced Pluripotent Stem cells from Parkinson's Disease patients</v>
      </c>
    </row>
    <row r="27" spans="1:14" s="39" customFormat="1" ht="13.5" customHeight="1" x14ac:dyDescent="0.45">
      <c r="A27" s="80">
        <v>25</v>
      </c>
      <c r="B27" s="81" t="s">
        <v>334</v>
      </c>
      <c r="C27" s="40" t="s">
        <v>180</v>
      </c>
      <c r="D27" s="40" t="s">
        <v>460</v>
      </c>
      <c r="E27" s="41" t="s">
        <v>406</v>
      </c>
      <c r="F27" s="68"/>
      <c r="G27" s="69"/>
      <c r="H27" s="69"/>
      <c r="I27" s="68"/>
      <c r="J27" s="68"/>
      <c r="K27" s="70"/>
      <c r="L27" s="69"/>
      <c r="M27" s="69"/>
      <c r="N27" s="56" t="str">
        <f t="shared" si="0"/>
        <v>E-GEOD-53424: Gene expression data from human fibroblasts and induced Pluripotent Stem cells from Parkinson's Disease patients</v>
      </c>
    </row>
    <row r="28" spans="1:14" s="39" customFormat="1" ht="13.5" customHeight="1" x14ac:dyDescent="0.45">
      <c r="A28" s="80">
        <v>26</v>
      </c>
      <c r="B28" s="81" t="s">
        <v>335</v>
      </c>
      <c r="C28" s="40" t="s">
        <v>180</v>
      </c>
      <c r="D28" s="40" t="s">
        <v>460</v>
      </c>
      <c r="E28" s="41" t="s">
        <v>407</v>
      </c>
      <c r="F28" s="68"/>
      <c r="G28" s="69"/>
      <c r="H28" s="69"/>
      <c r="I28" s="68"/>
      <c r="J28" s="68"/>
      <c r="K28" s="70"/>
      <c r="L28" s="69"/>
      <c r="M28" s="69"/>
      <c r="N28" s="56" t="str">
        <f t="shared" si="0"/>
        <v>E-GEOD-46798: Gene expression of A53T and corrected IPSC driven to DA neurons and exposed to paraquat and maneb</v>
      </c>
    </row>
    <row r="29" spans="1:14" s="39" customFormat="1" ht="13.5" customHeight="1" x14ac:dyDescent="0.45">
      <c r="A29" s="80">
        <v>27</v>
      </c>
      <c r="B29" s="81" t="s">
        <v>57</v>
      </c>
      <c r="C29" s="40" t="s">
        <v>180</v>
      </c>
      <c r="D29" s="40" t="s">
        <v>460</v>
      </c>
      <c r="E29" s="41" t="s">
        <v>133</v>
      </c>
      <c r="F29" s="68"/>
      <c r="G29" s="69"/>
      <c r="H29" s="69"/>
      <c r="I29" s="68"/>
      <c r="J29" s="68"/>
      <c r="K29" s="70"/>
      <c r="L29" s="69"/>
      <c r="M29" s="69"/>
      <c r="N29" s="56" t="str">
        <f t="shared" si="0"/>
        <v>E-GEOD-30643: Expression data from parietal cortex of G114V genetic Creutzfeldt-Jakob disease patient</v>
      </c>
    </row>
    <row r="30" spans="1:14" s="39" customFormat="1" ht="13.5" customHeight="1" x14ac:dyDescent="0.45">
      <c r="A30" s="80">
        <v>28</v>
      </c>
      <c r="B30" s="80" t="s">
        <v>336</v>
      </c>
      <c r="C30" s="40" t="s">
        <v>465</v>
      </c>
      <c r="D30" s="68"/>
      <c r="E30" s="41" t="s">
        <v>408</v>
      </c>
      <c r="F30" s="40" t="s">
        <v>475</v>
      </c>
      <c r="G30" s="42" t="s">
        <v>476</v>
      </c>
      <c r="H30" s="42" t="s">
        <v>477</v>
      </c>
      <c r="I30" s="40">
        <v>7</v>
      </c>
      <c r="J30" s="40">
        <v>11</v>
      </c>
      <c r="K30" s="43">
        <v>41092</v>
      </c>
      <c r="L30" s="42" t="s">
        <v>478</v>
      </c>
      <c r="M30" s="42" t="s">
        <v>470</v>
      </c>
      <c r="N30" s="56" t="str">
        <f t="shared" si="0"/>
        <v>E-MTAB-1194: Transcription profiling by array of human frontal cortex (area 8) from Parkinson disease cases and controls</v>
      </c>
    </row>
    <row r="31" spans="1:14" s="39" customFormat="1" ht="13.5" customHeight="1" x14ac:dyDescent="0.45">
      <c r="A31" s="80">
        <v>29</v>
      </c>
      <c r="B31" s="81" t="s">
        <v>337</v>
      </c>
      <c r="C31" s="40" t="s">
        <v>180</v>
      </c>
      <c r="D31" s="40" t="s">
        <v>460</v>
      </c>
      <c r="E31" s="41" t="s">
        <v>409</v>
      </c>
      <c r="F31" s="68"/>
      <c r="G31" s="69"/>
      <c r="H31" s="69"/>
      <c r="I31" s="68"/>
      <c r="J31" s="68"/>
      <c r="K31" s="70"/>
      <c r="L31" s="69"/>
      <c r="M31" s="69"/>
      <c r="N31" s="56" t="str">
        <f t="shared" si="0"/>
        <v>E-GEOD-43368: Phenotypic characterization of retinoic acid differentiated SH-SY5Y cells by transcriptional profiling</v>
      </c>
    </row>
    <row r="32" spans="1:14" s="39" customFormat="1" ht="13.5" customHeight="1" x14ac:dyDescent="0.45">
      <c r="A32" s="80">
        <v>30</v>
      </c>
      <c r="B32" s="81" t="s">
        <v>338</v>
      </c>
      <c r="C32" s="40" t="s">
        <v>180</v>
      </c>
      <c r="D32" s="40" t="s">
        <v>460</v>
      </c>
      <c r="E32" s="41" t="s">
        <v>410</v>
      </c>
      <c r="F32" s="68"/>
      <c r="G32" s="69"/>
      <c r="H32" s="69"/>
      <c r="I32" s="68"/>
      <c r="J32" s="68"/>
      <c r="K32" s="70"/>
      <c r="L32" s="69"/>
      <c r="M32" s="69"/>
      <c r="N32" s="56" t="str">
        <f t="shared" si="0"/>
        <v>E-GEOD-43235: Human embryonic stem cells differentiated in dopaminergic neurons</v>
      </c>
    </row>
    <row r="33" spans="1:14" s="39" customFormat="1" ht="13.5" customHeight="1" x14ac:dyDescent="0.45">
      <c r="A33" s="80">
        <v>31</v>
      </c>
      <c r="B33" s="81" t="s">
        <v>339</v>
      </c>
      <c r="C33" s="40" t="s">
        <v>180</v>
      </c>
      <c r="D33" s="40" t="s">
        <v>460</v>
      </c>
      <c r="E33" s="41" t="s">
        <v>411</v>
      </c>
      <c r="F33" s="68"/>
      <c r="G33" s="69"/>
      <c r="H33" s="69"/>
      <c r="I33" s="68"/>
      <c r="J33" s="68"/>
      <c r="K33" s="70"/>
      <c r="L33" s="69"/>
      <c r="M33" s="69"/>
      <c r="N33" s="56" t="str">
        <f t="shared" si="0"/>
        <v>E-GEOD-34287: A splice isoform signature of Parkinson?s disease in peripheral blood</v>
      </c>
    </row>
    <row r="34" spans="1:14" s="39" customFormat="1" ht="13.5" customHeight="1" x14ac:dyDescent="0.45">
      <c r="A34" s="80">
        <v>32</v>
      </c>
      <c r="B34" s="81" t="s">
        <v>340</v>
      </c>
      <c r="C34" s="40" t="s">
        <v>180</v>
      </c>
      <c r="D34" s="40" t="s">
        <v>460</v>
      </c>
      <c r="E34" s="41" t="s">
        <v>412</v>
      </c>
      <c r="F34" s="68"/>
      <c r="G34" s="69"/>
      <c r="H34" s="69"/>
      <c r="I34" s="68"/>
      <c r="J34" s="68"/>
      <c r="K34" s="70"/>
      <c r="L34" s="69"/>
      <c r="M34" s="69"/>
      <c r="N34" s="56" t="str">
        <f t="shared" si="0"/>
        <v>E-GEOD-36321: Gene expression analysis of H9 hESC derived neuron stem cells (NSC) harboring pathogenic LRRK2 (G2019S) mutation</v>
      </c>
    </row>
    <row r="35" spans="1:14" s="39" customFormat="1" ht="13.5" customHeight="1" x14ac:dyDescent="0.45">
      <c r="A35" s="80">
        <v>33</v>
      </c>
      <c r="B35" s="81" t="s">
        <v>341</v>
      </c>
      <c r="C35" s="40" t="s">
        <v>180</v>
      </c>
      <c r="D35" s="40" t="s">
        <v>460</v>
      </c>
      <c r="E35" s="41" t="s">
        <v>413</v>
      </c>
      <c r="F35" s="68"/>
      <c r="G35" s="69"/>
      <c r="H35" s="69"/>
      <c r="I35" s="68"/>
      <c r="J35" s="68"/>
      <c r="K35" s="70"/>
      <c r="L35" s="69"/>
      <c r="M35" s="69"/>
      <c r="N35" s="56" t="str">
        <f t="shared" si="0"/>
        <v>E-GEOD-33298: Gene expression analysis of human iPSC generated from pathogenic LRRK2 (G2019S) mutation bearing patients</v>
      </c>
    </row>
    <row r="36" spans="1:14" s="39" customFormat="1" ht="13.5" customHeight="1" x14ac:dyDescent="0.45">
      <c r="A36" s="80">
        <v>34</v>
      </c>
      <c r="B36" s="80" t="s">
        <v>342</v>
      </c>
      <c r="C36" s="40" t="s">
        <v>465</v>
      </c>
      <c r="D36" s="68"/>
      <c r="E36" s="41" t="s">
        <v>414</v>
      </c>
      <c r="F36" s="40" t="s">
        <v>479</v>
      </c>
      <c r="G36" s="42" t="s">
        <v>480</v>
      </c>
      <c r="H36" s="42" t="s">
        <v>481</v>
      </c>
      <c r="I36" s="40">
        <v>26</v>
      </c>
      <c r="J36" s="40">
        <v>27</v>
      </c>
      <c r="K36" s="43">
        <v>41171</v>
      </c>
      <c r="L36" s="42" t="s">
        <v>482</v>
      </c>
      <c r="M36" s="42" t="s">
        <v>470</v>
      </c>
      <c r="N36" s="56" t="str">
        <f t="shared" si="0"/>
        <v>E-MTAB-812: Transcription profiling of prefrontal cortex Brodmann area 9 samples from Parkinson disease and neurologically healthy control patients</v>
      </c>
    </row>
    <row r="37" spans="1:14" s="39" customFormat="1" ht="13.5" customHeight="1" x14ac:dyDescent="0.45">
      <c r="A37" s="80">
        <v>35</v>
      </c>
      <c r="B37" s="81" t="s">
        <v>343</v>
      </c>
      <c r="C37" s="40" t="s">
        <v>180</v>
      </c>
      <c r="D37" s="40" t="s">
        <v>460</v>
      </c>
      <c r="E37" s="41" t="s">
        <v>415</v>
      </c>
      <c r="F37" s="68"/>
      <c r="G37" s="69"/>
      <c r="H37" s="69"/>
      <c r="I37" s="68"/>
      <c r="J37" s="68"/>
      <c r="K37" s="70"/>
      <c r="L37" s="69"/>
      <c r="M37" s="69"/>
      <c r="N37" s="56" t="str">
        <f t="shared" si="0"/>
        <v>E-GEOD-35642: Transcriptome analysis of a chronic in vitro model of Parkinsonism</v>
      </c>
    </row>
    <row r="38" spans="1:14" s="39" customFormat="1" ht="13.5" customHeight="1" x14ac:dyDescent="0.45">
      <c r="A38" s="80">
        <v>36</v>
      </c>
      <c r="B38" s="81" t="s">
        <v>344</v>
      </c>
      <c r="C38" s="40" t="s">
        <v>180</v>
      </c>
      <c r="D38" s="40" t="s">
        <v>460</v>
      </c>
      <c r="E38" s="41" t="s">
        <v>416</v>
      </c>
      <c r="F38" s="68"/>
      <c r="G38" s="69"/>
      <c r="H38" s="69"/>
      <c r="I38" s="68"/>
      <c r="J38" s="68"/>
      <c r="K38" s="70"/>
      <c r="L38" s="69"/>
      <c r="M38" s="69"/>
      <c r="N38" s="56" t="str">
        <f t="shared" si="0"/>
        <v>E-GEOD-38155: Donor-dependent hepatic differentiation propensity among hiPSC lines</v>
      </c>
    </row>
    <row r="39" spans="1:14" s="39" customFormat="1" ht="13.5" customHeight="1" x14ac:dyDescent="0.45">
      <c r="A39" s="80">
        <v>37</v>
      </c>
      <c r="B39" s="81" t="s">
        <v>345</v>
      </c>
      <c r="C39" s="40" t="s">
        <v>180</v>
      </c>
      <c r="D39" s="40" t="s">
        <v>460</v>
      </c>
      <c r="E39" s="41" t="s">
        <v>417</v>
      </c>
      <c r="F39" s="68"/>
      <c r="G39" s="69"/>
      <c r="H39" s="69"/>
      <c r="I39" s="68"/>
      <c r="J39" s="68"/>
      <c r="K39" s="70"/>
      <c r="L39" s="69"/>
      <c r="M39" s="69"/>
      <c r="N39" s="56" t="str">
        <f t="shared" si="0"/>
        <v>E-GEOD-38153: aHDF- and PB-iPSC clones from the same individuals</v>
      </c>
    </row>
    <row r="40" spans="1:14" s="39" customFormat="1" ht="13.5" customHeight="1" x14ac:dyDescent="0.45">
      <c r="A40" s="80">
        <v>38</v>
      </c>
      <c r="B40" s="81" t="s">
        <v>346</v>
      </c>
      <c r="C40" s="40" t="s">
        <v>180</v>
      </c>
      <c r="D40" s="40" t="s">
        <v>460</v>
      </c>
      <c r="E40" s="41" t="s">
        <v>418</v>
      </c>
      <c r="F40" s="68"/>
      <c r="G40" s="69"/>
      <c r="H40" s="69"/>
      <c r="I40" s="68"/>
      <c r="J40" s="68"/>
      <c r="K40" s="70"/>
      <c r="L40" s="69"/>
      <c r="M40" s="69"/>
      <c r="N40" s="56" t="str">
        <f t="shared" si="0"/>
        <v>E-GEOD-22491: Transcriptomic profiling of peripheral blood mononuclear cells from patients with Parkinson?s disease and control subjects</v>
      </c>
    </row>
    <row r="41" spans="1:14" s="39" customFormat="1" ht="13.5" customHeight="1" x14ac:dyDescent="0.45">
      <c r="A41" s="80">
        <v>39</v>
      </c>
      <c r="B41" s="81" t="s">
        <v>347</v>
      </c>
      <c r="C41" s="40" t="s">
        <v>180</v>
      </c>
      <c r="D41" s="40" t="s">
        <v>460</v>
      </c>
      <c r="E41" s="41" t="s">
        <v>419</v>
      </c>
      <c r="F41" s="68"/>
      <c r="G41" s="69"/>
      <c r="H41" s="69"/>
      <c r="I41" s="68"/>
      <c r="J41" s="68"/>
      <c r="K41" s="70"/>
      <c r="L41" s="69"/>
      <c r="M41" s="69"/>
      <c r="N41" s="56" t="str">
        <f t="shared" si="0"/>
        <v>E-GEOD-23676: Expression data from advanced Parkinson's disease (PD) patients leukocytes - prior to and following deep brain stimulation (DBS) treatment in on and off stimulation conditions, and matched healthy control (HC) subjects</v>
      </c>
    </row>
    <row r="42" spans="1:14" s="39" customFormat="1" ht="13.5" customHeight="1" x14ac:dyDescent="0.45">
      <c r="A42" s="80">
        <v>40</v>
      </c>
      <c r="B42" s="81" t="s">
        <v>348</v>
      </c>
      <c r="C42" s="40" t="s">
        <v>180</v>
      </c>
      <c r="D42" s="40" t="s">
        <v>460</v>
      </c>
      <c r="E42" s="41" t="s">
        <v>420</v>
      </c>
      <c r="F42" s="68"/>
      <c r="G42" s="69"/>
      <c r="H42" s="69"/>
      <c r="I42" s="68"/>
      <c r="J42" s="68"/>
      <c r="K42" s="70"/>
      <c r="L42" s="69"/>
      <c r="M42" s="69"/>
      <c r="N42" s="56" t="str">
        <f t="shared" si="0"/>
        <v>E-GEOD-33434: The transcription factor nurr1 exerts concentration-dependent effects on target genes mediating distinct biological processes</v>
      </c>
    </row>
    <row r="43" spans="1:14" s="39" customFormat="1" ht="13.5" customHeight="1" x14ac:dyDescent="0.45">
      <c r="A43" s="80">
        <v>41</v>
      </c>
      <c r="B43" s="81" t="s">
        <v>349</v>
      </c>
      <c r="C43" s="40" t="s">
        <v>180</v>
      </c>
      <c r="D43" s="40" t="s">
        <v>460</v>
      </c>
      <c r="E43" s="41" t="s">
        <v>421</v>
      </c>
      <c r="F43" s="68"/>
      <c r="G43" s="69"/>
      <c r="H43" s="69"/>
      <c r="I43" s="68"/>
      <c r="J43" s="68"/>
      <c r="K43" s="70"/>
      <c r="L43" s="69"/>
      <c r="M43" s="69"/>
      <c r="N43" s="56" t="str">
        <f t="shared" si="0"/>
        <v>E-GEOD-32658: Midbrain floor plate dopamine neurons from human ESCs efficiently engraft in murine and primate models of PD</v>
      </c>
    </row>
    <row r="44" spans="1:14" s="39" customFormat="1" ht="13.5" customHeight="1" x14ac:dyDescent="0.45">
      <c r="A44" s="80">
        <v>42</v>
      </c>
      <c r="B44" s="81" t="s">
        <v>350</v>
      </c>
      <c r="C44" s="40" t="s">
        <v>180</v>
      </c>
      <c r="D44" s="40" t="s">
        <v>460</v>
      </c>
      <c r="E44" s="41" t="s">
        <v>422</v>
      </c>
      <c r="F44" s="68"/>
      <c r="G44" s="69"/>
      <c r="H44" s="69"/>
      <c r="I44" s="68"/>
      <c r="J44" s="68"/>
      <c r="K44" s="70"/>
      <c r="L44" s="69"/>
      <c r="M44" s="69"/>
      <c r="N44" s="56" t="str">
        <f t="shared" si="0"/>
        <v>E-GEOD-25931: Gene Expression Profiling of Human Embryonic Neural Stem Cells and Dopaminergic Neurons from Adult Human Substantia Nigra</v>
      </c>
    </row>
    <row r="45" spans="1:14" s="39" customFormat="1" ht="13.5" customHeight="1" x14ac:dyDescent="0.45">
      <c r="A45" s="80">
        <v>43</v>
      </c>
      <c r="B45" s="81" t="s">
        <v>351</v>
      </c>
      <c r="C45" s="40" t="s">
        <v>180</v>
      </c>
      <c r="D45" s="40" t="s">
        <v>463</v>
      </c>
      <c r="E45" s="41" t="s">
        <v>423</v>
      </c>
      <c r="F45" s="68"/>
      <c r="G45" s="69"/>
      <c r="H45" s="69"/>
      <c r="I45" s="68"/>
      <c r="J45" s="68"/>
      <c r="K45" s="70"/>
      <c r="L45" s="69"/>
      <c r="M45" s="69"/>
      <c r="N45" s="56" t="str">
        <f t="shared" si="0"/>
        <v>E-GEOD-16658: microRNA (miRNA) expression profiling of PBMCs of Parkinson's disease (PD) patients and controls</v>
      </c>
    </row>
    <row r="46" spans="1:14" s="39" customFormat="1" ht="13.5" customHeight="1" x14ac:dyDescent="0.45">
      <c r="A46" s="80">
        <v>44</v>
      </c>
      <c r="B46" s="81" t="s">
        <v>352</v>
      </c>
      <c r="C46" s="40" t="s">
        <v>180</v>
      </c>
      <c r="D46" s="40" t="s">
        <v>460</v>
      </c>
      <c r="E46" s="41" t="s">
        <v>424</v>
      </c>
      <c r="F46" s="68"/>
      <c r="G46" s="69"/>
      <c r="H46" s="69"/>
      <c r="I46" s="68"/>
      <c r="J46" s="68"/>
      <c r="K46" s="70"/>
      <c r="L46" s="69"/>
      <c r="M46" s="69"/>
      <c r="N46" s="56" t="str">
        <f t="shared" si="0"/>
        <v>E-GEOD-30792: Expression data from Parkison's iPSCs with four copies of SNCA, and equivalent cell lines from an unaffected first degree relative</v>
      </c>
    </row>
    <row r="47" spans="1:14" s="39" customFormat="1" ht="13.5" customHeight="1" x14ac:dyDescent="0.45">
      <c r="A47" s="80">
        <v>45</v>
      </c>
      <c r="B47" s="81" t="s">
        <v>353</v>
      </c>
      <c r="C47" s="40" t="s">
        <v>180</v>
      </c>
      <c r="D47" s="40" t="s">
        <v>181</v>
      </c>
      <c r="E47" s="41" t="s">
        <v>425</v>
      </c>
      <c r="F47" s="68"/>
      <c r="G47" s="69"/>
      <c r="H47" s="69"/>
      <c r="I47" s="68"/>
      <c r="J47" s="68"/>
      <c r="K47" s="70"/>
      <c r="L47" s="69"/>
      <c r="M47" s="69"/>
      <c r="N47" s="56" t="str">
        <f t="shared" si="0"/>
        <v>E-GEOD-28367: Expression and SNP data from fibroblasts, iPSCs and neurons with four copies of SNCA, and equivalent cell lines from an unaffected first degree relative</v>
      </c>
    </row>
    <row r="48" spans="1:14" s="39" customFormat="1" ht="13.5" customHeight="1" x14ac:dyDescent="0.45">
      <c r="A48" s="80">
        <v>46</v>
      </c>
      <c r="B48" s="81" t="s">
        <v>354</v>
      </c>
      <c r="C48" s="40" t="s">
        <v>180</v>
      </c>
      <c r="D48" s="40" t="s">
        <v>460</v>
      </c>
      <c r="E48" s="41" t="s">
        <v>426</v>
      </c>
      <c r="F48" s="68"/>
      <c r="G48" s="69"/>
      <c r="H48" s="69"/>
      <c r="I48" s="68"/>
      <c r="J48" s="68"/>
      <c r="K48" s="70"/>
      <c r="L48" s="69"/>
      <c r="M48" s="69"/>
      <c r="N48" s="56" t="str">
        <f t="shared" si="0"/>
        <v>E-GEOD-28365: Expression data from fibroblasts, iPSCs and neurons with four copies of SNCA, and equivalent cell lines from an unaffected first degree relative</v>
      </c>
    </row>
    <row r="49" spans="1:14" s="39" customFormat="1" ht="13.5" customHeight="1" x14ac:dyDescent="0.45">
      <c r="A49" s="80">
        <v>47</v>
      </c>
      <c r="B49" s="81" t="s">
        <v>76</v>
      </c>
      <c r="C49" s="40" t="s">
        <v>180</v>
      </c>
      <c r="D49" s="40" t="s">
        <v>460</v>
      </c>
      <c r="E49" s="41" t="s">
        <v>152</v>
      </c>
      <c r="F49" s="68"/>
      <c r="G49" s="69"/>
      <c r="H49" s="69"/>
      <c r="I49" s="68"/>
      <c r="J49" s="68"/>
      <c r="K49" s="70"/>
      <c r="L49" s="69"/>
      <c r="M49" s="69"/>
      <c r="N49" s="56" t="str">
        <f t="shared" si="0"/>
        <v>E-GEOD-28379: Gene expression profiles of familial Alzheimer's disease with presenilin 2 mutation patient-specific induced pluripotent stem cells</v>
      </c>
    </row>
    <row r="50" spans="1:14" s="39" customFormat="1" ht="13.5" customHeight="1" x14ac:dyDescent="0.45">
      <c r="A50" s="80">
        <v>48</v>
      </c>
      <c r="B50" s="81" t="s">
        <v>355</v>
      </c>
      <c r="C50" s="40" t="s">
        <v>180</v>
      </c>
      <c r="D50" s="40" t="s">
        <v>181</v>
      </c>
      <c r="E50" s="41" t="s">
        <v>427</v>
      </c>
      <c r="F50" s="68"/>
      <c r="G50" s="69"/>
      <c r="H50" s="69"/>
      <c r="I50" s="68"/>
      <c r="J50" s="68"/>
      <c r="K50" s="70"/>
      <c r="L50" s="69"/>
      <c r="M50" s="69"/>
      <c r="N50" s="56" t="str">
        <f t="shared" si="0"/>
        <v>E-GEOD-29774: Generation of isogenic pluripotent stem cells differing exclusively at two early onset Parkinson point mutations</v>
      </c>
    </row>
    <row r="51" spans="1:14" s="39" customFormat="1" ht="13.5" customHeight="1" x14ac:dyDescent="0.45">
      <c r="A51" s="80">
        <v>49</v>
      </c>
      <c r="B51" s="81" t="s">
        <v>356</v>
      </c>
      <c r="C51" s="40" t="s">
        <v>180</v>
      </c>
      <c r="D51" s="40" t="s">
        <v>460</v>
      </c>
      <c r="E51" s="41" t="s">
        <v>428</v>
      </c>
      <c r="F51" s="68"/>
      <c r="G51" s="69"/>
      <c r="H51" s="69"/>
      <c r="I51" s="68"/>
      <c r="J51" s="68"/>
      <c r="K51" s="70"/>
      <c r="L51" s="69"/>
      <c r="M51" s="69"/>
      <c r="N51" s="56" t="str">
        <f t="shared" si="0"/>
        <v>E-GEOD-29773: Gene Expression Data for Generation of isogenic pluripotent stem cells differing exclusively at two early onset Parkinson point mutations</v>
      </c>
    </row>
    <row r="52" spans="1:14" s="39" customFormat="1" ht="13.5" customHeight="1" x14ac:dyDescent="0.45">
      <c r="A52" s="80">
        <v>50</v>
      </c>
      <c r="B52" s="81" t="s">
        <v>357</v>
      </c>
      <c r="C52" s="40" t="s">
        <v>180</v>
      </c>
      <c r="D52" s="40" t="s">
        <v>460</v>
      </c>
      <c r="E52" s="41" t="s">
        <v>429</v>
      </c>
      <c r="F52" s="68"/>
      <c r="G52" s="69"/>
      <c r="H52" s="69"/>
      <c r="I52" s="68"/>
      <c r="J52" s="68"/>
      <c r="K52" s="70"/>
      <c r="L52" s="69"/>
      <c r="M52" s="69"/>
      <c r="N52" s="56" t="str">
        <f t="shared" si="0"/>
        <v>E-GEOD-28894: Gene expression changes across multiple regions of the Parkinson?s disease brain</v>
      </c>
    </row>
    <row r="53" spans="1:14" s="39" customFormat="1" ht="13.5" customHeight="1" x14ac:dyDescent="0.45">
      <c r="A53" s="80">
        <v>51</v>
      </c>
      <c r="B53" s="81" t="s">
        <v>358</v>
      </c>
      <c r="C53" s="40" t="s">
        <v>180</v>
      </c>
      <c r="D53" s="40" t="s">
        <v>462</v>
      </c>
      <c r="E53" s="41" t="s">
        <v>430</v>
      </c>
      <c r="F53" s="68"/>
      <c r="G53" s="69"/>
      <c r="H53" s="69"/>
      <c r="I53" s="68"/>
      <c r="J53" s="68"/>
      <c r="K53" s="70"/>
      <c r="L53" s="69"/>
      <c r="M53" s="69"/>
      <c r="N53" s="56" t="str">
        <f t="shared" si="0"/>
        <v>E-TABM-879: Transcriptional profiling of human olfactory neurosphere-derived cell lines from healthy and idiopathic Parkinsons disease individuals</v>
      </c>
    </row>
    <row r="54" spans="1:14" s="39" customFormat="1" ht="13.5" customHeight="1" x14ac:dyDescent="0.45">
      <c r="A54" s="80">
        <v>52</v>
      </c>
      <c r="B54" s="81" t="s">
        <v>359</v>
      </c>
      <c r="C54" s="40" t="s">
        <v>180</v>
      </c>
      <c r="D54" s="40" t="s">
        <v>464</v>
      </c>
      <c r="E54" s="41" t="s">
        <v>431</v>
      </c>
      <c r="F54" s="68"/>
      <c r="G54" s="69"/>
      <c r="H54" s="69"/>
      <c r="I54" s="68"/>
      <c r="J54" s="68"/>
      <c r="K54" s="70"/>
      <c r="L54" s="69"/>
      <c r="M54" s="69"/>
      <c r="N54" s="56" t="str">
        <f t="shared" si="0"/>
        <v>E-GEOD-29889: Gene expression of a variety of Huh-7 derived hepatoma cells and their susceptibility to infection by JHF1 HCV in the HCV cell culture system</v>
      </c>
    </row>
    <row r="55" spans="1:14" s="39" customFormat="1" ht="13.5" customHeight="1" x14ac:dyDescent="0.45">
      <c r="A55" s="80">
        <v>53</v>
      </c>
      <c r="B55" s="81" t="s">
        <v>360</v>
      </c>
      <c r="C55" s="40" t="s">
        <v>180</v>
      </c>
      <c r="D55" s="40" t="s">
        <v>460</v>
      </c>
      <c r="E55" s="41" t="s">
        <v>432</v>
      </c>
      <c r="F55" s="68"/>
      <c r="G55" s="69"/>
      <c r="H55" s="69"/>
      <c r="I55" s="68"/>
      <c r="J55" s="68"/>
      <c r="K55" s="70"/>
      <c r="L55" s="69"/>
      <c r="M55" s="69"/>
      <c r="N55" s="56" t="str">
        <f t="shared" si="0"/>
        <v>E-GEOD-20186: Systematic meta-analysis and replication of genome-wide expression studies of Parkinson's disease</v>
      </c>
    </row>
    <row r="56" spans="1:14" s="39" customFormat="1" ht="13.5" customHeight="1" x14ac:dyDescent="0.45">
      <c r="A56" s="80">
        <v>54</v>
      </c>
      <c r="B56" s="81" t="s">
        <v>81</v>
      </c>
      <c r="C56" s="40" t="s">
        <v>180</v>
      </c>
      <c r="D56" s="40" t="s">
        <v>460</v>
      </c>
      <c r="E56" s="41" t="s">
        <v>157</v>
      </c>
      <c r="F56" s="68"/>
      <c r="G56" s="69"/>
      <c r="H56" s="69"/>
      <c r="I56" s="68"/>
      <c r="J56" s="68"/>
      <c r="K56" s="70"/>
      <c r="L56" s="69"/>
      <c r="M56" s="69"/>
      <c r="N56" s="56" t="str">
        <f t="shared" si="0"/>
        <v>E-GEOD-26927: Common neuroinflammatory pathways in neurodegenerative diseases</v>
      </c>
    </row>
    <row r="57" spans="1:14" s="39" customFormat="1" ht="13.5" customHeight="1" x14ac:dyDescent="0.45">
      <c r="A57" s="80">
        <v>55</v>
      </c>
      <c r="B57" s="81" t="s">
        <v>361</v>
      </c>
      <c r="C57" s="40" t="s">
        <v>180</v>
      </c>
      <c r="D57" s="40" t="s">
        <v>460</v>
      </c>
      <c r="E57" s="41" t="s">
        <v>433</v>
      </c>
      <c r="F57" s="68"/>
      <c r="G57" s="69"/>
      <c r="H57" s="69"/>
      <c r="I57" s="68"/>
      <c r="J57" s="68"/>
      <c r="K57" s="70"/>
      <c r="L57" s="69"/>
      <c r="M57" s="69"/>
      <c r="N57" s="56" t="str">
        <f t="shared" si="0"/>
        <v>E-GEOD-24378: Systematic meta-analysis and replication of genome-wide expression studies identifies molecular pathways of Parkinson?s disease</v>
      </c>
    </row>
    <row r="58" spans="1:14" s="39" customFormat="1" ht="13.5" customHeight="1" x14ac:dyDescent="0.45">
      <c r="A58" s="80">
        <v>56</v>
      </c>
      <c r="B58" s="81" t="s">
        <v>362</v>
      </c>
      <c r="C58" s="40" t="s">
        <v>180</v>
      </c>
      <c r="D58" s="40" t="s">
        <v>460</v>
      </c>
      <c r="E58" s="41" t="s">
        <v>434</v>
      </c>
      <c r="F58" s="68"/>
      <c r="G58" s="69"/>
      <c r="H58" s="69"/>
      <c r="I58" s="68"/>
      <c r="J58" s="68"/>
      <c r="K58" s="70"/>
      <c r="L58" s="69"/>
      <c r="M58" s="69"/>
      <c r="N58" s="56" t="str">
        <f t="shared" si="0"/>
        <v>E-GEOD-20314: Systematic meta-analysis and replication of genome-wide expression studies of Parkinson?s disease: 4</v>
      </c>
    </row>
    <row r="59" spans="1:14" s="39" customFormat="1" ht="13.5" customHeight="1" x14ac:dyDescent="0.45">
      <c r="A59" s="80">
        <v>57</v>
      </c>
      <c r="B59" s="81" t="s">
        <v>82</v>
      </c>
      <c r="C59" s="40" t="s">
        <v>180</v>
      </c>
      <c r="D59" s="40" t="s">
        <v>460</v>
      </c>
      <c r="E59" s="41" t="s">
        <v>158</v>
      </c>
      <c r="F59" s="68"/>
      <c r="G59" s="69"/>
      <c r="H59" s="69"/>
      <c r="I59" s="68"/>
      <c r="J59" s="68"/>
      <c r="K59" s="70"/>
      <c r="L59" s="69"/>
      <c r="M59" s="69"/>
      <c r="N59" s="56" t="str">
        <f t="shared" si="0"/>
        <v>E-GEOD-20164: Systematic meta-analysis and replication of genome-wide expression studies of Parkinson's disease: 3</v>
      </c>
    </row>
    <row r="60" spans="1:14" s="39" customFormat="1" ht="13.5" customHeight="1" x14ac:dyDescent="0.45">
      <c r="A60" s="80">
        <v>58</v>
      </c>
      <c r="B60" s="81" t="s">
        <v>83</v>
      </c>
      <c r="C60" s="40" t="s">
        <v>180</v>
      </c>
      <c r="D60" s="40" t="s">
        <v>460</v>
      </c>
      <c r="E60" s="41" t="s">
        <v>159</v>
      </c>
      <c r="F60" s="68"/>
      <c r="G60" s="69"/>
      <c r="H60" s="69"/>
      <c r="I60" s="68"/>
      <c r="J60" s="68"/>
      <c r="K60" s="70"/>
      <c r="L60" s="69"/>
      <c r="M60" s="69"/>
      <c r="N60" s="56" t="str">
        <f t="shared" si="0"/>
        <v>E-GEOD-20163: Systematic meta-analysis and replication of genome-wide expression studies of Parkinson's disease: 2</v>
      </c>
    </row>
    <row r="61" spans="1:14" s="39" customFormat="1" ht="13.5" customHeight="1" x14ac:dyDescent="0.45">
      <c r="A61" s="80">
        <v>59</v>
      </c>
      <c r="B61" s="81" t="s">
        <v>84</v>
      </c>
      <c r="C61" s="40" t="s">
        <v>180</v>
      </c>
      <c r="D61" s="40" t="s">
        <v>460</v>
      </c>
      <c r="E61" s="41" t="s">
        <v>160</v>
      </c>
      <c r="F61" s="68"/>
      <c r="G61" s="69"/>
      <c r="H61" s="69"/>
      <c r="I61" s="68"/>
      <c r="J61" s="68"/>
      <c r="K61" s="70"/>
      <c r="L61" s="69"/>
      <c r="M61" s="69"/>
      <c r="N61" s="56" t="str">
        <f t="shared" si="0"/>
        <v>E-GEOD-21450: Dysregulated expression and alternative splicing of genes controlling neuritogenesis and axon guidance revealed by exon-sensitive microarrays in models of neurodegeneration</v>
      </c>
    </row>
    <row r="62" spans="1:14" s="39" customFormat="1" ht="13.5" customHeight="1" x14ac:dyDescent="0.45">
      <c r="A62" s="80">
        <v>60</v>
      </c>
      <c r="B62" s="81" t="s">
        <v>363</v>
      </c>
      <c r="C62" s="40" t="s">
        <v>180</v>
      </c>
      <c r="D62" s="40" t="s">
        <v>460</v>
      </c>
      <c r="E62" s="41" t="s">
        <v>435</v>
      </c>
      <c r="F62" s="68"/>
      <c r="G62" s="69"/>
      <c r="H62" s="69"/>
      <c r="I62" s="68"/>
      <c r="J62" s="68"/>
      <c r="K62" s="70"/>
      <c r="L62" s="69"/>
      <c r="M62" s="69"/>
      <c r="N62" s="56" t="str">
        <f t="shared" si="0"/>
        <v>E-GEOD-25580: Examination of impact of pathogenic mutations in LRRK2 upon gene expression in patient fibroblasts and HEK cells</v>
      </c>
    </row>
    <row r="63" spans="1:14" s="39" customFormat="1" ht="13.5" customHeight="1" x14ac:dyDescent="0.45">
      <c r="A63" s="80">
        <v>61</v>
      </c>
      <c r="B63" s="81" t="s">
        <v>364</v>
      </c>
      <c r="C63" s="40" t="s">
        <v>180</v>
      </c>
      <c r="D63" s="40" t="s">
        <v>460</v>
      </c>
      <c r="E63" s="41" t="s">
        <v>436</v>
      </c>
      <c r="F63" s="68"/>
      <c r="G63" s="69"/>
      <c r="H63" s="69"/>
      <c r="I63" s="68"/>
      <c r="J63" s="68"/>
      <c r="K63" s="70"/>
      <c r="L63" s="69"/>
      <c r="M63" s="69"/>
      <c r="N63" s="56" t="str">
        <f t="shared" si="0"/>
        <v>E-GEOD-24095: Human postmortem hippocampus: Major depressive disorder  (MDD) vs. Control</v>
      </c>
    </row>
    <row r="64" spans="1:14" s="39" customFormat="1" ht="13.5" customHeight="1" x14ac:dyDescent="0.45">
      <c r="A64" s="80">
        <v>62</v>
      </c>
      <c r="B64" s="81" t="s">
        <v>365</v>
      </c>
      <c r="C64" s="40" t="s">
        <v>180</v>
      </c>
      <c r="D64" s="40" t="s">
        <v>460</v>
      </c>
      <c r="E64" s="41" t="s">
        <v>437</v>
      </c>
      <c r="F64" s="68"/>
      <c r="G64" s="69"/>
      <c r="H64" s="69"/>
      <c r="I64" s="68"/>
      <c r="J64" s="68"/>
      <c r="K64" s="70"/>
      <c r="L64" s="69"/>
      <c r="M64" s="69"/>
      <c r="N64" s="56" t="str">
        <f t="shared" si="0"/>
        <v>E-GEOD-24598: The human nose harbours a niche of olfactory ecto-mesenchymal stem cells displaying neurogenic and osteogenic properties</v>
      </c>
    </row>
    <row r="65" spans="1:14" s="39" customFormat="1" ht="13.5" customHeight="1" x14ac:dyDescent="0.45">
      <c r="A65" s="80">
        <v>63</v>
      </c>
      <c r="B65" s="81" t="s">
        <v>366</v>
      </c>
      <c r="C65" s="40" t="s">
        <v>180</v>
      </c>
      <c r="D65" s="40" t="s">
        <v>460</v>
      </c>
      <c r="E65" s="41" t="s">
        <v>438</v>
      </c>
      <c r="F65" s="68"/>
      <c r="G65" s="69"/>
      <c r="H65" s="69"/>
      <c r="I65" s="68"/>
      <c r="J65" s="68"/>
      <c r="K65" s="70"/>
      <c r="L65" s="69"/>
      <c r="M65" s="69"/>
      <c r="N65" s="56" t="str">
        <f t="shared" si="0"/>
        <v>E-GEOD-19587: Imaging-guided microarray: Identifies molecular markers in the pathogenesis of Parkinson?s disease</v>
      </c>
    </row>
    <row r="66" spans="1:14" s="39" customFormat="1" ht="13.5" customHeight="1" x14ac:dyDescent="0.45">
      <c r="A66" s="80">
        <v>64</v>
      </c>
      <c r="B66" s="81" t="s">
        <v>86</v>
      </c>
      <c r="C66" s="40" t="s">
        <v>180</v>
      </c>
      <c r="D66" s="40" t="s">
        <v>471</v>
      </c>
      <c r="E66" s="41" t="s">
        <v>162</v>
      </c>
      <c r="F66" s="68"/>
      <c r="G66" s="69"/>
      <c r="H66" s="69"/>
      <c r="I66" s="68"/>
      <c r="J66" s="68"/>
      <c r="K66" s="70"/>
      <c r="L66" s="69"/>
      <c r="M66" s="69"/>
      <c r="N66" s="56" t="str">
        <f t="shared" si="0"/>
        <v>E-MTAB-62: Human gene expression atlas of 5372 samples representing 369 different cell and tissue types, disease states and cell lines</v>
      </c>
    </row>
    <row r="67" spans="1:14" s="39" customFormat="1" ht="13.5" customHeight="1" x14ac:dyDescent="0.45">
      <c r="A67" s="80">
        <v>65</v>
      </c>
      <c r="B67" s="81" t="s">
        <v>367</v>
      </c>
      <c r="C67" s="40" t="s">
        <v>180</v>
      </c>
      <c r="D67" s="40" t="s">
        <v>462</v>
      </c>
      <c r="E67" s="41" t="s">
        <v>439</v>
      </c>
      <c r="F67" s="68"/>
      <c r="G67" s="69"/>
      <c r="H67" s="69"/>
      <c r="I67" s="68"/>
      <c r="J67" s="68"/>
      <c r="K67" s="70"/>
      <c r="L67" s="69"/>
      <c r="M67" s="69"/>
      <c r="N67" s="56" t="str">
        <f t="shared" si="0"/>
        <v>E-TABM-724: Transcription profiling of neurosphere-derived cell lines from patients with brain disorders</v>
      </c>
    </row>
    <row r="68" spans="1:14" s="39" customFormat="1" ht="13.5" customHeight="1" x14ac:dyDescent="0.45">
      <c r="A68" s="80">
        <v>66</v>
      </c>
      <c r="B68" s="81" t="s">
        <v>368</v>
      </c>
      <c r="C68" s="40" t="s">
        <v>180</v>
      </c>
      <c r="D68" s="40" t="s">
        <v>460</v>
      </c>
      <c r="E68" s="41" t="s">
        <v>440</v>
      </c>
      <c r="F68" s="68"/>
      <c r="G68" s="69"/>
      <c r="H68" s="69"/>
      <c r="I68" s="68"/>
      <c r="J68" s="68"/>
      <c r="K68" s="70"/>
      <c r="L68" s="69"/>
      <c r="M68" s="69"/>
      <c r="N68" s="56" t="str">
        <f t="shared" ref="N68:N90" si="1">HYPERLINK(_xlfn.CONCAT("https://www.ebi.ac.uk/arrayexpress/experiments/",B68), _xlfn.CONCAT(B68, ": ", E68))</f>
        <v>E-GEOD-17204: Transcription profiling by array of human neuroblastoma cells transfected with RNAi against DJ-1</v>
      </c>
    </row>
    <row r="69" spans="1:14" s="39" customFormat="1" ht="13.5" customHeight="1" x14ac:dyDescent="0.45">
      <c r="A69" s="80">
        <v>67</v>
      </c>
      <c r="B69" s="81" t="s">
        <v>369</v>
      </c>
      <c r="C69" s="40" t="s">
        <v>180</v>
      </c>
      <c r="D69" s="40" t="s">
        <v>460</v>
      </c>
      <c r="E69" s="41" t="s">
        <v>441</v>
      </c>
      <c r="F69" s="68"/>
      <c r="G69" s="69"/>
      <c r="H69" s="69"/>
      <c r="I69" s="68"/>
      <c r="J69" s="68"/>
      <c r="K69" s="70"/>
      <c r="L69" s="69"/>
      <c r="M69" s="69"/>
      <c r="N69" s="56" t="str">
        <f t="shared" si="1"/>
        <v>E-GEOD-20333: Gene expression profiling of parkinsonian substantia nigra</v>
      </c>
    </row>
    <row r="70" spans="1:14" s="39" customFormat="1" ht="13.5" customHeight="1" x14ac:dyDescent="0.45">
      <c r="A70" s="80">
        <v>68</v>
      </c>
      <c r="B70" s="81" t="s">
        <v>370</v>
      </c>
      <c r="C70" s="40" t="s">
        <v>180</v>
      </c>
      <c r="D70" s="40" t="s">
        <v>460</v>
      </c>
      <c r="E70" s="41" t="s">
        <v>442</v>
      </c>
      <c r="F70" s="68"/>
      <c r="G70" s="69"/>
      <c r="H70" s="69"/>
      <c r="I70" s="68"/>
      <c r="J70" s="68"/>
      <c r="K70" s="70"/>
      <c r="L70" s="69"/>
      <c r="M70" s="69"/>
      <c r="N70" s="56" t="str">
        <f t="shared" si="1"/>
        <v>E-GEOD-20295: Transcriptional analysis of multiple brain regions in Parkinson's disease</v>
      </c>
    </row>
    <row r="71" spans="1:14" s="39" customFormat="1" ht="13.5" customHeight="1" x14ac:dyDescent="0.45">
      <c r="A71" s="80">
        <v>69</v>
      </c>
      <c r="B71" s="81" t="s">
        <v>371</v>
      </c>
      <c r="C71" s="40" t="s">
        <v>180</v>
      </c>
      <c r="D71" s="40" t="s">
        <v>460</v>
      </c>
      <c r="E71" s="41" t="s">
        <v>443</v>
      </c>
      <c r="F71" s="68"/>
      <c r="G71" s="69"/>
      <c r="H71" s="69"/>
      <c r="I71" s="68"/>
      <c r="J71" s="68"/>
      <c r="K71" s="70"/>
      <c r="L71" s="69"/>
      <c r="M71" s="69"/>
      <c r="N71" s="56" t="str">
        <f t="shared" si="1"/>
        <v>E-GEOD-20292: Transcriptional analysis of whole substantia nigra in Parkinson's disease</v>
      </c>
    </row>
    <row r="72" spans="1:14" s="39" customFormat="1" ht="13.5" customHeight="1" x14ac:dyDescent="0.45">
      <c r="A72" s="80">
        <v>70</v>
      </c>
      <c r="B72" s="81" t="s">
        <v>372</v>
      </c>
      <c r="C72" s="40" t="s">
        <v>180</v>
      </c>
      <c r="D72" s="40" t="s">
        <v>460</v>
      </c>
      <c r="E72" s="41" t="s">
        <v>444</v>
      </c>
      <c r="F72" s="68"/>
      <c r="G72" s="69"/>
      <c r="H72" s="69"/>
      <c r="I72" s="68"/>
      <c r="J72" s="68"/>
      <c r="K72" s="70"/>
      <c r="L72" s="69"/>
      <c r="M72" s="69"/>
      <c r="N72" s="56" t="str">
        <f t="shared" si="1"/>
        <v>E-GEOD-20291: Transcriptional analysis of putamen in Parkinson's disease</v>
      </c>
    </row>
    <row r="73" spans="1:14" s="39" customFormat="1" ht="13.5" customHeight="1" x14ac:dyDescent="0.45">
      <c r="A73" s="80">
        <v>71</v>
      </c>
      <c r="B73" s="81" t="s">
        <v>373</v>
      </c>
      <c r="C73" s="40" t="s">
        <v>180</v>
      </c>
      <c r="D73" s="40" t="s">
        <v>460</v>
      </c>
      <c r="E73" s="41" t="s">
        <v>445</v>
      </c>
      <c r="F73" s="68"/>
      <c r="G73" s="69"/>
      <c r="H73" s="69"/>
      <c r="I73" s="68"/>
      <c r="J73" s="68"/>
      <c r="K73" s="70"/>
      <c r="L73" s="69"/>
      <c r="M73" s="69"/>
      <c r="N73" s="56" t="str">
        <f t="shared" si="1"/>
        <v>E-GEOD-7179: Comparison of gene expression data between wild-type and DM1-affected undifferentiated hES cells</v>
      </c>
    </row>
    <row r="74" spans="1:14" s="39" customFormat="1" ht="13.5" customHeight="1" x14ac:dyDescent="0.45">
      <c r="A74" s="80">
        <v>72</v>
      </c>
      <c r="B74" s="81" t="s">
        <v>374</v>
      </c>
      <c r="C74" s="40" t="s">
        <v>180</v>
      </c>
      <c r="D74" s="40" t="s">
        <v>460</v>
      </c>
      <c r="E74" s="41" t="s">
        <v>446</v>
      </c>
      <c r="F74" s="68"/>
      <c r="G74" s="69"/>
      <c r="H74" s="69"/>
      <c r="I74" s="68"/>
      <c r="J74" s="68"/>
      <c r="K74" s="70"/>
      <c r="L74" s="69"/>
      <c r="M74" s="69"/>
      <c r="N74" s="56" t="str">
        <f t="shared" si="1"/>
        <v>E-GEOD-7178: Comparison of gene expression data between wild-type and DM1-affected Neural Precursors Cells (NPC)</v>
      </c>
    </row>
    <row r="75" spans="1:14" s="39" customFormat="1" ht="13.5" customHeight="1" x14ac:dyDescent="0.45">
      <c r="A75" s="80">
        <v>73</v>
      </c>
      <c r="B75" s="81" t="s">
        <v>375</v>
      </c>
      <c r="C75" s="40" t="s">
        <v>180</v>
      </c>
      <c r="D75" s="40" t="s">
        <v>460</v>
      </c>
      <c r="E75" s="41" t="s">
        <v>447</v>
      </c>
      <c r="F75" s="68"/>
      <c r="G75" s="69"/>
      <c r="H75" s="69"/>
      <c r="I75" s="68"/>
      <c r="J75" s="68"/>
      <c r="K75" s="70"/>
      <c r="L75" s="69"/>
      <c r="M75" s="69"/>
      <c r="N75" s="56" t="str">
        <f t="shared" si="1"/>
        <v>E-GEOD-7177: Comparison of gene expression data between wild-type and DM1-affected Mesodermal Precursors Cells (MPC)</v>
      </c>
    </row>
    <row r="76" spans="1:14" s="39" customFormat="1" ht="13.5" customHeight="1" x14ac:dyDescent="0.45">
      <c r="A76" s="80">
        <v>74</v>
      </c>
      <c r="B76" s="81" t="s">
        <v>376</v>
      </c>
      <c r="C76" s="40" t="s">
        <v>180</v>
      </c>
      <c r="D76" s="40" t="s">
        <v>460</v>
      </c>
      <c r="E76" s="41" t="s">
        <v>448</v>
      </c>
      <c r="F76" s="68"/>
      <c r="G76" s="69"/>
      <c r="H76" s="69"/>
      <c r="I76" s="68"/>
      <c r="J76" s="68"/>
      <c r="K76" s="70"/>
      <c r="L76" s="69"/>
      <c r="M76" s="69"/>
      <c r="N76" s="56" t="str">
        <f t="shared" si="1"/>
        <v>E-GEOD-20168: Transcriptional analysis of prefrontal area 9 in Parkinson's disease</v>
      </c>
    </row>
    <row r="77" spans="1:14" s="39" customFormat="1" ht="13.5" customHeight="1" x14ac:dyDescent="0.45">
      <c r="A77" s="80">
        <v>75</v>
      </c>
      <c r="B77" s="81" t="s">
        <v>377</v>
      </c>
      <c r="C77" s="40" t="s">
        <v>180</v>
      </c>
      <c r="D77" s="40" t="s">
        <v>460</v>
      </c>
      <c r="E77" s="41" t="s">
        <v>449</v>
      </c>
      <c r="F77" s="68"/>
      <c r="G77" s="69"/>
      <c r="H77" s="69"/>
      <c r="I77" s="68"/>
      <c r="J77" s="68"/>
      <c r="K77" s="70"/>
      <c r="L77" s="69"/>
      <c r="M77" s="69"/>
      <c r="N77" s="56" t="str">
        <f t="shared" si="1"/>
        <v>E-GEOD-20153: Expression analysis of lymphoblast cells lines in Parkinson's disease</v>
      </c>
    </row>
    <row r="78" spans="1:14" s="39" customFormat="1" ht="13.5" customHeight="1" x14ac:dyDescent="0.45">
      <c r="A78" s="80">
        <v>76</v>
      </c>
      <c r="B78" s="81" t="s">
        <v>378</v>
      </c>
      <c r="C78" s="40" t="s">
        <v>180</v>
      </c>
      <c r="D78" s="40" t="s">
        <v>460</v>
      </c>
      <c r="E78" s="41" t="s">
        <v>450</v>
      </c>
      <c r="F78" s="68"/>
      <c r="G78" s="69"/>
      <c r="H78" s="69"/>
      <c r="I78" s="68"/>
      <c r="J78" s="68"/>
      <c r="K78" s="70"/>
      <c r="L78" s="69"/>
      <c r="M78" s="69"/>
      <c r="N78" s="56" t="str">
        <f t="shared" si="1"/>
        <v>E-GEOD-20146: Expression analysis of dissected Globus Pallidus interna in Parkinson's disease</v>
      </c>
    </row>
    <row r="79" spans="1:14" s="39" customFormat="1" ht="13.5" customHeight="1" x14ac:dyDescent="0.45">
      <c r="A79" s="80">
        <v>77</v>
      </c>
      <c r="B79" s="81" t="s">
        <v>379</v>
      </c>
      <c r="C79" s="40" t="s">
        <v>180</v>
      </c>
      <c r="D79" s="40" t="s">
        <v>460</v>
      </c>
      <c r="E79" s="41" t="s">
        <v>451</v>
      </c>
      <c r="F79" s="68"/>
      <c r="G79" s="69"/>
      <c r="H79" s="69"/>
      <c r="I79" s="68"/>
      <c r="J79" s="68"/>
      <c r="K79" s="70"/>
      <c r="L79" s="69"/>
      <c r="M79" s="69"/>
      <c r="N79" s="56" t="str">
        <f t="shared" si="1"/>
        <v>E-GEOD-20141: Expression analysis of laser-dissected SNpc neurons in Parkinson's disease</v>
      </c>
    </row>
    <row r="80" spans="1:14" s="39" customFormat="1" ht="13.5" customHeight="1" x14ac:dyDescent="0.45">
      <c r="A80" s="80">
        <v>78</v>
      </c>
      <c r="B80" s="81" t="s">
        <v>380</v>
      </c>
      <c r="C80" s="40" t="s">
        <v>180</v>
      </c>
      <c r="D80" s="40" t="s">
        <v>460</v>
      </c>
      <c r="E80" s="41" t="s">
        <v>452</v>
      </c>
      <c r="F80" s="68"/>
      <c r="G80" s="69"/>
      <c r="H80" s="69"/>
      <c r="I80" s="68"/>
      <c r="J80" s="68"/>
      <c r="K80" s="70"/>
      <c r="L80" s="69"/>
      <c r="M80" s="69"/>
      <c r="N80" s="56" t="str">
        <f t="shared" si="1"/>
        <v>E-GEOD-4773: Transcription profiling by array of the human SK-H-MC Parkinson's disease cell line after treatment with rotenone</v>
      </c>
    </row>
    <row r="81" spans="1:14" s="39" customFormat="1" ht="13.5" customHeight="1" x14ac:dyDescent="0.45">
      <c r="A81" s="80">
        <v>79</v>
      </c>
      <c r="B81" s="81" t="s">
        <v>94</v>
      </c>
      <c r="C81" s="40" t="s">
        <v>180</v>
      </c>
      <c r="D81" s="40" t="s">
        <v>460</v>
      </c>
      <c r="E81" s="41" t="s">
        <v>170</v>
      </c>
      <c r="F81" s="68"/>
      <c r="G81" s="69"/>
      <c r="H81" s="69"/>
      <c r="I81" s="68"/>
      <c r="J81" s="68"/>
      <c r="K81" s="70"/>
      <c r="L81" s="69"/>
      <c r="M81" s="69"/>
      <c r="N81" s="56" t="str">
        <f t="shared" si="1"/>
        <v>E-GEOD-14429: Transcription profiling by array of human HEK293 cells treated with the proteasome inhibitor epoxomicin</v>
      </c>
    </row>
    <row r="82" spans="1:14" s="39" customFormat="1" ht="13.5" customHeight="1" x14ac:dyDescent="0.45">
      <c r="A82" s="80">
        <v>80</v>
      </c>
      <c r="B82" s="81" t="s">
        <v>96</v>
      </c>
      <c r="C82" s="40" t="s">
        <v>180</v>
      </c>
      <c r="D82" s="40" t="s">
        <v>460</v>
      </c>
      <c r="E82" s="41" t="s">
        <v>172</v>
      </c>
      <c r="F82" s="68"/>
      <c r="G82" s="69"/>
      <c r="H82" s="69"/>
      <c r="I82" s="68"/>
      <c r="J82" s="68"/>
      <c r="K82" s="70"/>
      <c r="L82" s="69"/>
      <c r="M82" s="69"/>
      <c r="N82" s="56" t="str">
        <f t="shared" si="1"/>
        <v>E-GEOD-6613: Microarray analysis of blood of individuals with early Parkinson's disease</v>
      </c>
    </row>
    <row r="83" spans="1:14" s="39" customFormat="1" ht="13.5" customHeight="1" x14ac:dyDescent="0.45">
      <c r="A83" s="80">
        <v>81</v>
      </c>
      <c r="B83" s="81" t="s">
        <v>381</v>
      </c>
      <c r="C83" s="40" t="s">
        <v>180</v>
      </c>
      <c r="D83" s="40" t="s">
        <v>460</v>
      </c>
      <c r="E83" s="41" t="s">
        <v>453</v>
      </c>
      <c r="F83" s="68"/>
      <c r="G83" s="69"/>
      <c r="H83" s="69"/>
      <c r="I83" s="68"/>
      <c r="J83" s="68"/>
      <c r="K83" s="70"/>
      <c r="L83" s="69"/>
      <c r="M83" s="69"/>
      <c r="N83" s="56" t="str">
        <f t="shared" si="1"/>
        <v>E-GEOD-7621: Transcription profiling by array of human substantia nigra from patients with Parkinson's disease</v>
      </c>
    </row>
    <row r="84" spans="1:14" s="39" customFormat="1" ht="13.5" customHeight="1" x14ac:dyDescent="0.45">
      <c r="A84" s="80">
        <v>82</v>
      </c>
      <c r="B84" s="81" t="s">
        <v>382</v>
      </c>
      <c r="C84" s="40" t="s">
        <v>180</v>
      </c>
      <c r="D84" s="40" t="s">
        <v>460</v>
      </c>
      <c r="E84" s="41" t="s">
        <v>454</v>
      </c>
      <c r="F84" s="68"/>
      <c r="G84" s="69"/>
      <c r="H84" s="69"/>
      <c r="I84" s="68"/>
      <c r="J84" s="68"/>
      <c r="K84" s="70"/>
      <c r="L84" s="69"/>
      <c r="M84" s="69"/>
      <c r="N84" s="56" t="str">
        <f t="shared" si="1"/>
        <v>E-GEOD-7307: Transcription profiling by array of human samples with various different diseases</v>
      </c>
    </row>
    <row r="85" spans="1:14" s="39" customFormat="1" ht="13.5" customHeight="1" x14ac:dyDescent="0.45">
      <c r="A85" s="80">
        <v>83</v>
      </c>
      <c r="B85" s="81" t="s">
        <v>383</v>
      </c>
      <c r="C85" s="40" t="s">
        <v>180</v>
      </c>
      <c r="D85" s="40" t="s">
        <v>460</v>
      </c>
      <c r="E85" s="41" t="s">
        <v>455</v>
      </c>
      <c r="F85" s="68"/>
      <c r="G85" s="69"/>
      <c r="H85" s="69"/>
      <c r="I85" s="68"/>
      <c r="J85" s="68"/>
      <c r="K85" s="70"/>
      <c r="L85" s="69"/>
      <c r="M85" s="69"/>
      <c r="N85" s="56" t="str">
        <f t="shared" si="1"/>
        <v>E-GEOD-8397: Transcription profiling of human Parkinsons medial and substania nigra</v>
      </c>
    </row>
    <row r="86" spans="1:14" s="39" customFormat="1" ht="13.5" customHeight="1" x14ac:dyDescent="0.45">
      <c r="A86" s="80">
        <v>84</v>
      </c>
      <c r="B86" s="81" t="s">
        <v>384</v>
      </c>
      <c r="C86" s="40" t="s">
        <v>180</v>
      </c>
      <c r="D86" s="40" t="s">
        <v>464</v>
      </c>
      <c r="E86" s="41" t="s">
        <v>456</v>
      </c>
      <c r="F86" s="68"/>
      <c r="G86" s="69"/>
      <c r="H86" s="69"/>
      <c r="I86" s="68"/>
      <c r="J86" s="68"/>
      <c r="K86" s="70"/>
      <c r="L86" s="69"/>
      <c r="M86" s="69"/>
      <c r="N86" s="56" t="str">
        <f t="shared" si="1"/>
        <v>E-MTAB-7: Transcription profiling of 51 human breast cancer cell lines</v>
      </c>
    </row>
    <row r="87" spans="1:14" s="39" customFormat="1" ht="13.5" customHeight="1" x14ac:dyDescent="0.45">
      <c r="A87" s="80">
        <v>85</v>
      </c>
      <c r="B87" s="81" t="s">
        <v>385</v>
      </c>
      <c r="C87" s="40" t="s">
        <v>180</v>
      </c>
      <c r="D87" s="40" t="s">
        <v>181</v>
      </c>
      <c r="E87" s="41" t="s">
        <v>457</v>
      </c>
      <c r="F87" s="68"/>
      <c r="G87" s="69"/>
      <c r="H87" s="69"/>
      <c r="I87" s="68"/>
      <c r="J87" s="68"/>
      <c r="K87" s="70"/>
      <c r="L87" s="69"/>
      <c r="M87" s="69"/>
      <c r="N87" s="56" t="str">
        <f t="shared" si="1"/>
        <v>E-MEXP-1416: Transcription profiling of melanized domamine neurons isolated from male and female patients with Parkinson disease to investigate gender differences</v>
      </c>
    </row>
    <row r="88" spans="1:14" s="39" customFormat="1" ht="13.5" customHeight="1" x14ac:dyDescent="0.45">
      <c r="A88" s="80">
        <v>86</v>
      </c>
      <c r="B88" s="81" t="s">
        <v>98</v>
      </c>
      <c r="C88" s="40" t="s">
        <v>180</v>
      </c>
      <c r="D88" s="40" t="s">
        <v>471</v>
      </c>
      <c r="E88" s="41" t="s">
        <v>174</v>
      </c>
      <c r="F88" s="68"/>
      <c r="G88" s="69"/>
      <c r="H88" s="69"/>
      <c r="I88" s="68"/>
      <c r="J88" s="68"/>
      <c r="K88" s="70"/>
      <c r="L88" s="69"/>
      <c r="M88" s="69"/>
      <c r="N88" s="56" t="str">
        <f t="shared" si="1"/>
        <v>E-TABM-185: Transcription profiling by array of integrated human experiments involving the hgu133a platform to investigate a global map of human gene expression</v>
      </c>
    </row>
    <row r="89" spans="1:14" s="39" customFormat="1" ht="13.5" customHeight="1" x14ac:dyDescent="0.45">
      <c r="A89" s="80">
        <v>87</v>
      </c>
      <c r="B89" s="81" t="s">
        <v>386</v>
      </c>
      <c r="C89" s="40" t="s">
        <v>180</v>
      </c>
      <c r="D89" s="40" t="s">
        <v>464</v>
      </c>
      <c r="E89" s="41" t="s">
        <v>458</v>
      </c>
      <c r="F89" s="68"/>
      <c r="G89" s="69"/>
      <c r="H89" s="69"/>
      <c r="I89" s="68"/>
      <c r="J89" s="68"/>
      <c r="K89" s="70"/>
      <c r="L89" s="69"/>
      <c r="M89" s="69"/>
      <c r="N89" s="56" t="str">
        <f t="shared" si="1"/>
        <v>E-TABM-167: Transcription profiling of high and low grade gliomas from human patients to identify new diagnostic and prognostic markers</v>
      </c>
    </row>
    <row r="90" spans="1:14" s="39" customFormat="1" ht="13.5" customHeight="1" x14ac:dyDescent="0.45">
      <c r="A90" s="80">
        <v>88</v>
      </c>
      <c r="B90" s="81" t="s">
        <v>387</v>
      </c>
      <c r="C90" s="40" t="s">
        <v>180</v>
      </c>
      <c r="D90" s="40" t="s">
        <v>464</v>
      </c>
      <c r="E90" s="41" t="s">
        <v>459</v>
      </c>
      <c r="F90" s="68"/>
      <c r="G90" s="69"/>
      <c r="H90" s="69"/>
      <c r="I90" s="68"/>
      <c r="J90" s="68"/>
      <c r="K90" s="70"/>
      <c r="L90" s="69"/>
      <c r="M90" s="69"/>
      <c r="N90" s="56" t="str">
        <f t="shared" si="1"/>
        <v>E-MEXP-18: Transcription profiling of human cell lines and tissues (Novartis/GNF)</v>
      </c>
    </row>
    <row r="91" spans="1:14" ht="13.5" customHeight="1" x14ac:dyDescent="0.45">
      <c r="A91" s="73"/>
      <c r="B91" s="74"/>
    </row>
    <row r="92" spans="1:14" ht="13.5" customHeight="1" x14ac:dyDescent="0.45"/>
    <row r="93" spans="1:14" ht="13.5" customHeight="1" x14ac:dyDescent="0.45"/>
    <row r="94" spans="1:14" ht="13.5" customHeight="1" x14ac:dyDescent="0.45"/>
    <row r="95" spans="1:14" ht="13.5" customHeight="1" x14ac:dyDescent="0.45"/>
    <row r="96" spans="1:14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</sheetData>
  <autoFilter ref="D2:D90" xr:uid="{8A4DBBA3-BCD7-4B76-8A5E-7D4B96E190C3}"/>
  <dataValidations count="2">
    <dataValidation type="list" allowBlank="1" showInputMessage="1" showErrorMessage="1" sqref="C1:C1048576" xr:uid="{25EE0AEB-E079-46C4-B081-2CE0D27D116A}">
      <formula1>"No, Yes"</formula1>
    </dataValidation>
    <dataValidation type="list" allowBlank="1" showInputMessage="1" showErrorMessage="1" sqref="D1:D1048576" xr:uid="{6398CAA1-E72E-4CD1-8C05-015321E46F4B}">
      <formula1>"Duplicate Study, Duplicate Study (GEO), Reanalysis, Not Human, Not Expression Profiling, Not Brain Tissue, Not Case-Control, Not Disease in Question, Cell-Line or Other Disease Model, Demonstrating Treatment Effects"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3308-226C-4DF5-9177-C79A3165AADB}">
  <dimension ref="A1:Q203"/>
  <sheetViews>
    <sheetView zoomScale="75" zoomScaleNormal="75" workbookViewId="0">
      <pane ySplit="2" topLeftCell="A3" activePane="bottomLeft" state="frozen"/>
      <selection pane="bottomLeft"/>
    </sheetView>
  </sheetViews>
  <sheetFormatPr defaultRowHeight="13.5" x14ac:dyDescent="0.45"/>
  <cols>
    <col min="1" max="1" width="6.9296875" style="72" customWidth="1"/>
    <col min="2" max="2" width="20.3984375" style="71" customWidth="1"/>
    <col min="3" max="3" width="14" style="2" customWidth="1"/>
    <col min="4" max="4" width="46.1328125" style="2" customWidth="1"/>
    <col min="5" max="5" width="30.59765625" style="4" customWidth="1"/>
    <col min="6" max="6" width="15.59765625" style="2" customWidth="1"/>
    <col min="7" max="7" width="23.59765625" style="6" customWidth="1"/>
    <col min="8" max="8" width="9.59765625" style="6" customWidth="1"/>
    <col min="9" max="10" width="12.59765625" style="2" customWidth="1"/>
    <col min="11" max="11" width="13.59765625" style="5" customWidth="1"/>
    <col min="12" max="12" width="31.86328125" style="6" customWidth="1"/>
    <col min="13" max="13" width="26.6640625" style="6" customWidth="1"/>
    <col min="14" max="14" width="211.73046875" style="19" bestFit="1" customWidth="1"/>
    <col min="15" max="16384" width="9.06640625" style="3"/>
  </cols>
  <sheetData>
    <row r="1" spans="1:17" s="34" customFormat="1" ht="25.9" customHeight="1" thickBot="1" x14ac:dyDescent="0.5">
      <c r="A1" s="34" t="s">
        <v>27</v>
      </c>
      <c r="E1" s="35"/>
      <c r="G1" s="35"/>
      <c r="H1" s="35"/>
      <c r="K1" s="36"/>
      <c r="L1" s="35"/>
      <c r="M1" s="35"/>
      <c r="N1" s="37"/>
    </row>
    <row r="2" spans="1:17" s="12" customFormat="1" ht="20.350000000000001" customHeight="1" x14ac:dyDescent="0.45">
      <c r="A2" s="8" t="s">
        <v>16</v>
      </c>
      <c r="B2" s="8" t="s">
        <v>20</v>
      </c>
      <c r="C2" s="9" t="s">
        <v>1</v>
      </c>
      <c r="D2" s="8" t="s">
        <v>3</v>
      </c>
      <c r="E2" s="10" t="s">
        <v>12</v>
      </c>
      <c r="F2" s="9" t="s">
        <v>8</v>
      </c>
      <c r="G2" s="10" t="s">
        <v>5</v>
      </c>
      <c r="H2" s="10" t="s">
        <v>13</v>
      </c>
      <c r="I2" s="9" t="s">
        <v>7</v>
      </c>
      <c r="J2" s="9" t="s">
        <v>6</v>
      </c>
      <c r="K2" s="11" t="s">
        <v>14</v>
      </c>
      <c r="L2" s="10" t="s">
        <v>9</v>
      </c>
      <c r="M2" s="10" t="s">
        <v>10</v>
      </c>
      <c r="N2" s="55" t="s">
        <v>11</v>
      </c>
      <c r="O2" s="17"/>
      <c r="P2" s="17"/>
      <c r="Q2" s="17"/>
    </row>
    <row r="3" spans="1:17" s="39" customFormat="1" ht="13.5" customHeight="1" x14ac:dyDescent="0.45">
      <c r="A3" s="80">
        <v>1</v>
      </c>
      <c r="B3" s="80" t="s">
        <v>182</v>
      </c>
      <c r="C3" s="40" t="s">
        <v>465</v>
      </c>
      <c r="D3" s="68"/>
      <c r="E3" s="41" t="s">
        <v>249</v>
      </c>
      <c r="F3" s="40" t="s">
        <v>483</v>
      </c>
      <c r="G3" s="42" t="s">
        <v>484</v>
      </c>
      <c r="H3" s="42" t="s">
        <v>485</v>
      </c>
      <c r="I3" s="40">
        <v>10</v>
      </c>
      <c r="J3" s="40">
        <v>30</v>
      </c>
      <c r="K3" s="43">
        <v>39337</v>
      </c>
      <c r="L3" s="42" t="s">
        <v>486</v>
      </c>
      <c r="M3" s="42" t="s">
        <v>470</v>
      </c>
      <c r="N3" s="56" t="str">
        <f>HYPERLINK(_xlfn.CONCAT("https://www.ebi.ac.uk/arrayexpress/experiments/",B3), _xlfn.CONCAT(B3, ": ", E3))</f>
        <v>E-MTAB-8635: Gene expression profiles in spinal cord of control and sporadic Amyotrophic Lateral Sclerosis patients</v>
      </c>
    </row>
    <row r="4" spans="1:17" s="39" customFormat="1" ht="13.5" customHeight="1" x14ac:dyDescent="0.45">
      <c r="A4" s="80">
        <v>2</v>
      </c>
      <c r="B4" s="81" t="s">
        <v>183</v>
      </c>
      <c r="C4" s="40" t="s">
        <v>180</v>
      </c>
      <c r="D4" s="40" t="s">
        <v>464</v>
      </c>
      <c r="E4" s="41" t="s">
        <v>250</v>
      </c>
      <c r="F4" s="68"/>
      <c r="G4" s="69"/>
      <c r="H4" s="69"/>
      <c r="I4" s="68"/>
      <c r="J4" s="68"/>
      <c r="K4" s="70"/>
      <c r="L4" s="69"/>
      <c r="M4" s="69"/>
      <c r="N4" s="56" t="str">
        <f t="shared" ref="N4:N67" si="0">HYPERLINK(_xlfn.CONCAT("https://www.ebi.ac.uk/arrayexpress/experiments/",B4), _xlfn.CONCAT(B4, ": ", E4))</f>
        <v>E-MTAB-4964: Microenvironment-driven resistance to B-Raf inhibition in a melanoma patient is accompanied by broad changes of gene methylation and expression in distal fibroblasts. Transcriptomic study</v>
      </c>
    </row>
    <row r="5" spans="1:17" s="44" customFormat="1" ht="13.5" customHeight="1" x14ac:dyDescent="0.45">
      <c r="A5" s="106">
        <v>3</v>
      </c>
      <c r="B5" s="106" t="s">
        <v>184</v>
      </c>
      <c r="C5" s="105" t="s">
        <v>465</v>
      </c>
      <c r="D5" s="107"/>
      <c r="E5" s="108" t="s">
        <v>251</v>
      </c>
      <c r="F5" s="105" t="s">
        <v>487</v>
      </c>
      <c r="G5" s="42" t="s">
        <v>488</v>
      </c>
      <c r="H5" s="42" t="s">
        <v>489</v>
      </c>
      <c r="I5" s="40">
        <v>10</v>
      </c>
      <c r="J5" s="40">
        <v>10</v>
      </c>
      <c r="K5" s="100">
        <v>42831</v>
      </c>
      <c r="L5" s="101" t="s">
        <v>492</v>
      </c>
      <c r="M5" s="101" t="s">
        <v>470</v>
      </c>
      <c r="N5" s="102" t="str">
        <f t="shared" si="0"/>
        <v>E-MTAB-6189: Differential gene expression study in brain samples from patients suffering distinct frontotemporal lobar degeneration (FTLD) conditions</v>
      </c>
    </row>
    <row r="6" spans="1:17" s="38" customFormat="1" ht="13.5" customHeight="1" x14ac:dyDescent="0.45">
      <c r="A6" s="106"/>
      <c r="B6" s="106"/>
      <c r="C6" s="105"/>
      <c r="D6" s="107"/>
      <c r="E6" s="108"/>
      <c r="F6" s="105"/>
      <c r="G6" s="42" t="s">
        <v>491</v>
      </c>
      <c r="H6" s="42" t="s">
        <v>490</v>
      </c>
      <c r="I6" s="40">
        <v>10</v>
      </c>
      <c r="J6" s="40">
        <v>10</v>
      </c>
      <c r="K6" s="100"/>
      <c r="L6" s="101"/>
      <c r="M6" s="101"/>
      <c r="N6" s="103"/>
    </row>
    <row r="7" spans="1:17" s="39" customFormat="1" ht="13.5" customHeight="1" x14ac:dyDescent="0.45">
      <c r="A7" s="80">
        <v>4</v>
      </c>
      <c r="B7" s="81" t="s">
        <v>41</v>
      </c>
      <c r="C7" s="40" t="s">
        <v>180</v>
      </c>
      <c r="D7" s="40" t="s">
        <v>471</v>
      </c>
      <c r="E7" s="41" t="s">
        <v>117</v>
      </c>
      <c r="F7" s="68"/>
      <c r="G7" s="69"/>
      <c r="H7" s="69"/>
      <c r="I7" s="68"/>
      <c r="J7" s="68"/>
      <c r="K7" s="70"/>
      <c r="L7" s="69"/>
      <c r="M7" s="69"/>
      <c r="N7" s="56" t="str">
        <f t="shared" si="0"/>
        <v>E-MTAB-3732: A comprehensive human expression map</v>
      </c>
    </row>
    <row r="8" spans="1:17" s="39" customFormat="1" ht="13.5" customHeight="1" x14ac:dyDescent="0.45">
      <c r="A8" s="80">
        <v>5</v>
      </c>
      <c r="B8" s="81" t="s">
        <v>185</v>
      </c>
      <c r="C8" s="40" t="s">
        <v>180</v>
      </c>
      <c r="D8" s="40" t="s">
        <v>460</v>
      </c>
      <c r="E8" s="41" t="s">
        <v>252</v>
      </c>
      <c r="F8" s="68"/>
      <c r="G8" s="69"/>
      <c r="H8" s="69"/>
      <c r="I8" s="68"/>
      <c r="J8" s="68"/>
      <c r="K8" s="70"/>
      <c r="L8" s="69"/>
      <c r="M8" s="69"/>
      <c r="N8" s="56" t="str">
        <f t="shared" si="0"/>
        <v>E-GEOD-68608: C9ORF72 GGGGCC expanded repeats produce splicing dysregulation which correlates with disease severity in amyotrophic lateral sclerosis</v>
      </c>
    </row>
    <row r="9" spans="1:17" s="39" customFormat="1" ht="13.5" customHeight="1" x14ac:dyDescent="0.45">
      <c r="A9" s="80">
        <v>6</v>
      </c>
      <c r="B9" s="81" t="s">
        <v>186</v>
      </c>
      <c r="C9" s="40" t="s">
        <v>180</v>
      </c>
      <c r="D9" s="40" t="s">
        <v>460</v>
      </c>
      <c r="E9" s="41" t="s">
        <v>253</v>
      </c>
      <c r="F9" s="68"/>
      <c r="G9" s="69"/>
      <c r="H9" s="69"/>
      <c r="I9" s="68"/>
      <c r="J9" s="68"/>
      <c r="K9" s="70"/>
      <c r="L9" s="69"/>
      <c r="M9" s="69"/>
      <c r="N9" s="56" t="str">
        <f t="shared" si="0"/>
        <v>E-GEOD-68607: C9ORF72 GGGGCC expanded repeats produce splicing dysregulation which correlates with disease severity in amyotrophic lateral sclerosis [HuEx-1_0-st]</v>
      </c>
    </row>
    <row r="10" spans="1:17" s="39" customFormat="1" ht="13.5" customHeight="1" x14ac:dyDescent="0.45">
      <c r="A10" s="80">
        <v>7</v>
      </c>
      <c r="B10" s="81" t="s">
        <v>187</v>
      </c>
      <c r="C10" s="40" t="s">
        <v>180</v>
      </c>
      <c r="D10" s="40" t="s">
        <v>460</v>
      </c>
      <c r="E10" s="41" t="s">
        <v>254</v>
      </c>
      <c r="F10" s="68"/>
      <c r="G10" s="69"/>
      <c r="H10" s="69"/>
      <c r="I10" s="68"/>
      <c r="J10" s="68"/>
      <c r="K10" s="70"/>
      <c r="L10" s="69"/>
      <c r="M10" s="69"/>
      <c r="N10" s="56" t="str">
        <f t="shared" si="0"/>
        <v>E-GEOD-68605: C9ORF72 GGGGCC expanded repeats produce splicing dysregulation which correlates with disease severity in amyotrophic lateral sclerosis [HG-U133_Plus_2]</v>
      </c>
    </row>
    <row r="11" spans="1:17" s="39" customFormat="1" ht="13.5" customHeight="1" x14ac:dyDescent="0.45">
      <c r="A11" s="80">
        <v>8</v>
      </c>
      <c r="B11" s="81" t="s">
        <v>188</v>
      </c>
      <c r="C11" s="40" t="s">
        <v>180</v>
      </c>
      <c r="D11" s="40" t="s">
        <v>464</v>
      </c>
      <c r="E11" s="41" t="s">
        <v>255</v>
      </c>
      <c r="F11" s="68"/>
      <c r="G11" s="69"/>
      <c r="H11" s="69"/>
      <c r="I11" s="68"/>
      <c r="J11" s="68"/>
      <c r="K11" s="70"/>
      <c r="L11" s="69"/>
      <c r="M11" s="69"/>
      <c r="N11" s="56" t="str">
        <f t="shared" si="0"/>
        <v>E-GEOD-59128: The human airway epithelial basal cell transcriptome in the early response to injury</v>
      </c>
    </row>
    <row r="12" spans="1:17" s="39" customFormat="1" ht="13.5" customHeight="1" x14ac:dyDescent="0.45">
      <c r="A12" s="80">
        <v>9</v>
      </c>
      <c r="B12" s="81" t="s">
        <v>189</v>
      </c>
      <c r="C12" s="40" t="s">
        <v>180</v>
      </c>
      <c r="D12" s="40" t="s">
        <v>462</v>
      </c>
      <c r="E12" s="41" t="s">
        <v>256</v>
      </c>
      <c r="F12" s="68"/>
      <c r="G12" s="69"/>
      <c r="H12" s="69"/>
      <c r="I12" s="68"/>
      <c r="J12" s="68"/>
      <c r="K12" s="70"/>
      <c r="L12" s="69"/>
      <c r="M12" s="69"/>
      <c r="N12" s="56" t="str">
        <f t="shared" si="0"/>
        <v>E-GEOD-68240: hiPSC-derived motor neurons: sporadic ALS patients vs. controls</v>
      </c>
    </row>
    <row r="13" spans="1:17" s="39" customFormat="1" ht="13.5" customHeight="1" x14ac:dyDescent="0.45">
      <c r="A13" s="80">
        <v>10</v>
      </c>
      <c r="B13" s="81" t="s">
        <v>190</v>
      </c>
      <c r="C13" s="40" t="s">
        <v>180</v>
      </c>
      <c r="D13" s="40" t="s">
        <v>464</v>
      </c>
      <c r="E13" s="41" t="s">
        <v>257</v>
      </c>
      <c r="F13" s="68"/>
      <c r="G13" s="69"/>
      <c r="H13" s="69"/>
      <c r="I13" s="68"/>
      <c r="J13" s="68"/>
      <c r="K13" s="70"/>
      <c r="L13" s="69"/>
      <c r="M13" s="69"/>
      <c r="N13" s="56" t="str">
        <f t="shared" si="0"/>
        <v>E-GEOD-60082: Effective sorafenib treatment response in a panel of genomically-characterized malignant peripheral nerve sheath tumor orthoxenograft models</v>
      </c>
    </row>
    <row r="14" spans="1:17" s="39" customFormat="1" ht="13.5" customHeight="1" x14ac:dyDescent="0.45">
      <c r="A14" s="80">
        <v>11</v>
      </c>
      <c r="B14" s="81" t="s">
        <v>191</v>
      </c>
      <c r="C14" s="40" t="s">
        <v>180</v>
      </c>
      <c r="D14" s="40" t="s">
        <v>464</v>
      </c>
      <c r="E14" s="41" t="s">
        <v>258</v>
      </c>
      <c r="F14" s="68"/>
      <c r="G14" s="69"/>
      <c r="H14" s="69"/>
      <c r="I14" s="68"/>
      <c r="J14" s="68"/>
      <c r="K14" s="70"/>
      <c r="L14" s="69"/>
      <c r="M14" s="69"/>
      <c r="N14" s="56" t="str">
        <f t="shared" si="0"/>
        <v>E-GEOD-67527: Gene expression comparison between fibroblasts samples of control and SPOAN affected patients</v>
      </c>
    </row>
    <row r="15" spans="1:17" s="39" customFormat="1" ht="13.5" customHeight="1" x14ac:dyDescent="0.45">
      <c r="A15" s="80">
        <v>12</v>
      </c>
      <c r="B15" s="80" t="s">
        <v>43</v>
      </c>
      <c r="C15" s="40" t="s">
        <v>465</v>
      </c>
      <c r="D15" s="68"/>
      <c r="E15" s="41" t="s">
        <v>119</v>
      </c>
      <c r="F15" s="40" t="s">
        <v>479</v>
      </c>
      <c r="G15" s="42" t="s">
        <v>493</v>
      </c>
      <c r="H15" s="42" t="s">
        <v>494</v>
      </c>
      <c r="I15" s="40">
        <v>10</v>
      </c>
      <c r="J15" s="40">
        <v>31</v>
      </c>
      <c r="K15" s="43">
        <v>41687</v>
      </c>
      <c r="L15" s="42" t="s">
        <v>482</v>
      </c>
      <c r="M15" s="42" t="s">
        <v>470</v>
      </c>
      <c r="N15" s="56" t="str">
        <f t="shared" si="0"/>
        <v>E-MTAB-2325: Gene expression profiles in motor cortex of Control and Sporadic Amyotrphic Lateral Sclerosis patients</v>
      </c>
    </row>
    <row r="16" spans="1:17" s="39" customFormat="1" ht="13.5" customHeight="1" x14ac:dyDescent="0.45">
      <c r="A16" s="80">
        <v>13</v>
      </c>
      <c r="B16" s="81" t="s">
        <v>192</v>
      </c>
      <c r="C16" s="40" t="s">
        <v>180</v>
      </c>
      <c r="D16" s="40" t="s">
        <v>460</v>
      </c>
      <c r="E16" s="41" t="s">
        <v>259</v>
      </c>
      <c r="F16" s="68"/>
      <c r="G16" s="69"/>
      <c r="H16" s="69"/>
      <c r="I16" s="68"/>
      <c r="J16" s="68"/>
      <c r="K16" s="70"/>
      <c r="L16" s="69"/>
      <c r="M16" s="69"/>
      <c r="N16" s="56" t="str">
        <f t="shared" si="0"/>
        <v>E-GEOD-66061: Gene expression profiling in a VRK1 R358X homozygote patient</v>
      </c>
    </row>
    <row r="17" spans="1:14" s="39" customFormat="1" ht="13.5" customHeight="1" x14ac:dyDescent="0.45">
      <c r="A17" s="80">
        <v>14</v>
      </c>
      <c r="B17" s="81" t="s">
        <v>193</v>
      </c>
      <c r="C17" s="40" t="s">
        <v>180</v>
      </c>
      <c r="D17" s="40" t="s">
        <v>460</v>
      </c>
      <c r="E17" s="41" t="s">
        <v>260</v>
      </c>
      <c r="F17" s="68"/>
      <c r="G17" s="69"/>
      <c r="H17" s="69"/>
      <c r="I17" s="68"/>
      <c r="J17" s="68"/>
      <c r="K17" s="70"/>
      <c r="L17" s="69"/>
      <c r="M17" s="69"/>
      <c r="N17" s="56" t="str">
        <f t="shared" si="0"/>
        <v>E-GEOD-65470: Modeling the early phenotype at the neuromuscular junction of spinal muscular atrophy using patient-derived iPSCs</v>
      </c>
    </row>
    <row r="18" spans="1:14" s="39" customFormat="1" ht="13.5" customHeight="1" x14ac:dyDescent="0.45">
      <c r="A18" s="80">
        <v>15</v>
      </c>
      <c r="B18" s="81" t="s">
        <v>194</v>
      </c>
      <c r="C18" s="40" t="s">
        <v>180</v>
      </c>
      <c r="D18" s="40" t="s">
        <v>460</v>
      </c>
      <c r="E18" s="41" t="s">
        <v>261</v>
      </c>
      <c r="F18" s="68"/>
      <c r="G18" s="69"/>
      <c r="H18" s="69"/>
      <c r="I18" s="68"/>
      <c r="J18" s="68"/>
      <c r="K18" s="70"/>
      <c r="L18" s="69"/>
      <c r="M18" s="69"/>
      <c r="N18" s="56" t="str">
        <f t="shared" si="0"/>
        <v>E-GEOD-58316: Suppression of NCALD protects against spinal muscular atrophy by restoring impaired endocytosis</v>
      </c>
    </row>
    <row r="19" spans="1:14" s="39" customFormat="1" ht="13.5" customHeight="1" x14ac:dyDescent="0.45">
      <c r="A19" s="80">
        <v>16</v>
      </c>
      <c r="B19" s="81" t="s">
        <v>195</v>
      </c>
      <c r="C19" s="40" t="s">
        <v>180</v>
      </c>
      <c r="D19" s="40" t="s">
        <v>464</v>
      </c>
      <c r="E19" s="41" t="s">
        <v>262</v>
      </c>
      <c r="F19" s="68"/>
      <c r="G19" s="69"/>
      <c r="H19" s="69"/>
      <c r="I19" s="68"/>
      <c r="J19" s="68"/>
      <c r="K19" s="70"/>
      <c r="L19" s="69"/>
      <c r="M19" s="69"/>
      <c r="N19" s="56" t="str">
        <f t="shared" si="0"/>
        <v>E-GEOD-40807: MiRNA expression profiling in human medullary thyroid carcinoma</v>
      </c>
    </row>
    <row r="20" spans="1:14" s="39" customFormat="1" ht="13.5" customHeight="1" x14ac:dyDescent="0.45">
      <c r="A20" s="80">
        <v>17</v>
      </c>
      <c r="B20" s="81" t="s">
        <v>196</v>
      </c>
      <c r="C20" s="40" t="s">
        <v>180</v>
      </c>
      <c r="D20" s="40" t="s">
        <v>464</v>
      </c>
      <c r="E20" s="41" t="s">
        <v>263</v>
      </c>
      <c r="F20" s="68"/>
      <c r="G20" s="69"/>
      <c r="H20" s="69"/>
      <c r="I20" s="68"/>
      <c r="J20" s="68"/>
      <c r="K20" s="70"/>
      <c r="L20" s="69"/>
      <c r="M20" s="69"/>
      <c r="N20" s="56" t="str">
        <f t="shared" si="0"/>
        <v>E-GEOD-44721: IL4 DCs and monocytes stimulated by 13 human vaccines and LPS for 6hr</v>
      </c>
    </row>
    <row r="21" spans="1:14" s="39" customFormat="1" ht="13.5" customHeight="1" x14ac:dyDescent="0.45">
      <c r="A21" s="80">
        <v>18</v>
      </c>
      <c r="B21" s="81" t="s">
        <v>197</v>
      </c>
      <c r="C21" s="40" t="s">
        <v>180</v>
      </c>
      <c r="D21" s="40" t="s">
        <v>463</v>
      </c>
      <c r="E21" s="41" t="s">
        <v>264</v>
      </c>
      <c r="F21" s="68"/>
      <c r="G21" s="69"/>
      <c r="H21" s="69"/>
      <c r="I21" s="68"/>
      <c r="J21" s="68"/>
      <c r="K21" s="70"/>
      <c r="L21" s="69"/>
      <c r="M21" s="69"/>
      <c r="N21" s="56" t="str">
        <f t="shared" si="0"/>
        <v>E-GEOD-52917: Early pre-symptomatic and progressive signatures of non-coding RNAs in ALS patients and mutation carriers</v>
      </c>
    </row>
    <row r="22" spans="1:14" s="39" customFormat="1" ht="13.5" customHeight="1" x14ac:dyDescent="0.45">
      <c r="A22" s="80">
        <v>19</v>
      </c>
      <c r="B22" s="81" t="s">
        <v>198</v>
      </c>
      <c r="C22" s="40" t="s">
        <v>180</v>
      </c>
      <c r="D22" s="40" t="s">
        <v>460</v>
      </c>
      <c r="E22" s="41" t="s">
        <v>265</v>
      </c>
      <c r="F22" s="68"/>
      <c r="G22" s="69"/>
      <c r="H22" s="69"/>
      <c r="I22" s="68"/>
      <c r="J22" s="68"/>
      <c r="K22" s="70"/>
      <c r="L22" s="69"/>
      <c r="M22" s="69"/>
      <c r="N22" s="56" t="str">
        <f t="shared" si="0"/>
        <v>E-GEOD-61322: Mutation of senataxin alters disease-specific transcriptional networks in patients with ataxia with oculomotor apraxia type 2 [03_AOA2_patient_blood_2011]</v>
      </c>
    </row>
    <row r="23" spans="1:14" s="39" customFormat="1" ht="13.5" customHeight="1" x14ac:dyDescent="0.45">
      <c r="A23" s="80">
        <v>20</v>
      </c>
      <c r="B23" s="81" t="s">
        <v>199</v>
      </c>
      <c r="C23" s="40" t="s">
        <v>180</v>
      </c>
      <c r="D23" s="40" t="s">
        <v>460</v>
      </c>
      <c r="E23" s="41" t="s">
        <v>266</v>
      </c>
      <c r="F23" s="68"/>
      <c r="G23" s="69"/>
      <c r="H23" s="69"/>
      <c r="I23" s="68"/>
      <c r="J23" s="68"/>
      <c r="K23" s="70"/>
      <c r="L23" s="69"/>
      <c r="M23" s="69"/>
      <c r="N23" s="56" t="str">
        <f t="shared" si="0"/>
        <v>E-GEOD-61321: Mutation of senataxin alters disease-specific transcriptional networks in patients with ataxia with oculomotor apraxia type 2 [02_fibroblasts_transfected]</v>
      </c>
    </row>
    <row r="24" spans="1:14" s="39" customFormat="1" ht="13.5" customHeight="1" x14ac:dyDescent="0.45">
      <c r="A24" s="80">
        <v>21</v>
      </c>
      <c r="B24" s="81" t="s">
        <v>200</v>
      </c>
      <c r="C24" s="40" t="s">
        <v>180</v>
      </c>
      <c r="D24" s="40" t="s">
        <v>460</v>
      </c>
      <c r="E24" s="41" t="s">
        <v>267</v>
      </c>
      <c r="F24" s="68"/>
      <c r="G24" s="69"/>
      <c r="H24" s="69"/>
      <c r="I24" s="68"/>
      <c r="J24" s="68"/>
      <c r="K24" s="70"/>
      <c r="L24" s="69"/>
      <c r="M24" s="69"/>
      <c r="N24" s="56" t="str">
        <f t="shared" si="0"/>
        <v>E-GEOD-61320: Mutation of senataxin alters disease-specific transcriptional networks in patients with ataxia with oculomotor apraxia type 2 [01_fibroblasts_patientAndcarrier]</v>
      </c>
    </row>
    <row r="25" spans="1:14" s="39" customFormat="1" ht="13.5" customHeight="1" x14ac:dyDescent="0.45">
      <c r="A25" s="80">
        <v>22</v>
      </c>
      <c r="B25" s="81" t="s">
        <v>201</v>
      </c>
      <c r="C25" s="40" t="s">
        <v>180</v>
      </c>
      <c r="D25" s="40" t="s">
        <v>181</v>
      </c>
      <c r="E25" s="41" t="s">
        <v>268</v>
      </c>
      <c r="F25" s="68"/>
      <c r="G25" s="69"/>
      <c r="H25" s="69"/>
      <c r="I25" s="68"/>
      <c r="J25" s="68"/>
      <c r="K25" s="70"/>
      <c r="L25" s="69"/>
      <c r="M25" s="69"/>
      <c r="N25" s="56" t="str">
        <f t="shared" si="0"/>
        <v>E-GEOD-56504: Loss of nuclear TDP-43 in ALS causes altered expression of splicing machinery and widespread dysregulation of RNA splicing in motor neurons</v>
      </c>
    </row>
    <row r="26" spans="1:14" s="39" customFormat="1" ht="13.5" customHeight="1" x14ac:dyDescent="0.45">
      <c r="A26" s="80">
        <v>23</v>
      </c>
      <c r="B26" s="81" t="s">
        <v>202</v>
      </c>
      <c r="C26" s="40" t="s">
        <v>180</v>
      </c>
      <c r="D26" s="40" t="s">
        <v>460</v>
      </c>
      <c r="E26" s="41" t="s">
        <v>269</v>
      </c>
      <c r="F26" s="68"/>
      <c r="G26" s="69"/>
      <c r="H26" s="69"/>
      <c r="I26" s="68"/>
      <c r="J26" s="68"/>
      <c r="K26" s="70"/>
      <c r="L26" s="69"/>
      <c r="M26" s="69"/>
      <c r="N26" s="56" t="str">
        <f t="shared" si="0"/>
        <v>E-GEOD-56500: Loss of nuclear TDP-43 in ALS causes altered expression of splicing machinery and widespread dysregulation of RNA splicing in motor neurons [LCM]</v>
      </c>
    </row>
    <row r="27" spans="1:14" s="39" customFormat="1" ht="13.5" customHeight="1" x14ac:dyDescent="0.45">
      <c r="A27" s="80">
        <v>24</v>
      </c>
      <c r="B27" s="81" t="s">
        <v>203</v>
      </c>
      <c r="C27" s="40" t="s">
        <v>180</v>
      </c>
      <c r="D27" s="40" t="s">
        <v>460</v>
      </c>
      <c r="E27" s="41" t="s">
        <v>270</v>
      </c>
      <c r="F27" s="68"/>
      <c r="G27" s="69"/>
      <c r="H27" s="69"/>
      <c r="I27" s="68"/>
      <c r="J27" s="68"/>
      <c r="K27" s="70"/>
      <c r="L27" s="69"/>
      <c r="M27" s="69"/>
      <c r="N27" s="56" t="str">
        <f t="shared" si="0"/>
        <v>E-GEOD-33855: Loss of nuclear TDP-43 in ALS causes altered expression of splicing machinery and widespread dysregulation of RNA splicing in motor neurons [fibroblasts]</v>
      </c>
    </row>
    <row r="28" spans="1:14" s="39" customFormat="1" ht="13.5" customHeight="1" x14ac:dyDescent="0.45">
      <c r="A28" s="80">
        <v>25</v>
      </c>
      <c r="B28" s="81" t="s">
        <v>204</v>
      </c>
      <c r="C28" s="40" t="s">
        <v>180</v>
      </c>
      <c r="D28" s="40" t="s">
        <v>460</v>
      </c>
      <c r="E28" s="41" t="s">
        <v>271</v>
      </c>
      <c r="F28" s="68"/>
      <c r="G28" s="69"/>
      <c r="H28" s="69"/>
      <c r="I28" s="68"/>
      <c r="J28" s="68"/>
      <c r="K28" s="70"/>
      <c r="L28" s="69"/>
      <c r="M28" s="69"/>
      <c r="N28" s="56" t="str">
        <f t="shared" si="0"/>
        <v>E-GEOD-56808: Transcription profiling by array of fibroblasts derived from skin biopsies taken from sporadic amyotrophic lateral sclerosis and primary lateral sclerosis neurologically normal human controls</v>
      </c>
    </row>
    <row r="29" spans="1:14" s="39" customFormat="1" ht="13.5" customHeight="1" x14ac:dyDescent="0.45">
      <c r="A29" s="80">
        <v>26</v>
      </c>
      <c r="B29" s="81" t="s">
        <v>205</v>
      </c>
      <c r="C29" s="40" t="s">
        <v>180</v>
      </c>
      <c r="D29" s="40" t="s">
        <v>460</v>
      </c>
      <c r="E29" s="41" t="s">
        <v>272</v>
      </c>
      <c r="F29" s="68"/>
      <c r="G29" s="69"/>
      <c r="H29" s="69"/>
      <c r="I29" s="68"/>
      <c r="J29" s="68"/>
      <c r="K29" s="70"/>
      <c r="L29" s="69"/>
      <c r="M29" s="69"/>
      <c r="N29" s="56" t="str">
        <f t="shared" si="0"/>
        <v>E-GEOD-40328: Signaling pathways in skeletal muscle of Amyotrophic Lateral Sclerosis mouse model</v>
      </c>
    </row>
    <row r="30" spans="1:14" s="39" customFormat="1" ht="13.5" customHeight="1" x14ac:dyDescent="0.45">
      <c r="A30" s="80">
        <v>27</v>
      </c>
      <c r="B30" s="81" t="s">
        <v>206</v>
      </c>
      <c r="C30" s="40" t="s">
        <v>180</v>
      </c>
      <c r="D30" s="40" t="s">
        <v>181</v>
      </c>
      <c r="E30" s="41" t="s">
        <v>273</v>
      </c>
      <c r="F30" s="68"/>
      <c r="G30" s="69"/>
      <c r="H30" s="69"/>
      <c r="I30" s="68"/>
      <c r="J30" s="68"/>
      <c r="K30" s="70"/>
      <c r="L30" s="69"/>
      <c r="M30" s="69"/>
      <c r="N30" s="56" t="str">
        <f t="shared" si="0"/>
        <v>E-GEOD-52392: Integrative DNA methylation and gene expression analysis in high-grade soft tissue sarcomas</v>
      </c>
    </row>
    <row r="31" spans="1:14" s="39" customFormat="1" ht="13.5" customHeight="1" x14ac:dyDescent="0.45">
      <c r="A31" s="80">
        <v>28</v>
      </c>
      <c r="B31" s="81" t="s">
        <v>207</v>
      </c>
      <c r="C31" s="40" t="s">
        <v>180</v>
      </c>
      <c r="D31" s="40" t="s">
        <v>464</v>
      </c>
      <c r="E31" s="41" t="s">
        <v>274</v>
      </c>
      <c r="F31" s="68"/>
      <c r="G31" s="69"/>
      <c r="H31" s="69"/>
      <c r="I31" s="68"/>
      <c r="J31" s="68"/>
      <c r="K31" s="70"/>
      <c r="L31" s="69"/>
      <c r="M31" s="69"/>
      <c r="N31" s="56" t="str">
        <f t="shared" si="0"/>
        <v>E-GEOD-52390: Integrative DNA methylation and gene expression analysis in high-grade soft tissue sarcomas [gene expression]</v>
      </c>
    </row>
    <row r="32" spans="1:14" s="39" customFormat="1" ht="13.5" customHeight="1" x14ac:dyDescent="0.45">
      <c r="A32" s="80">
        <v>29</v>
      </c>
      <c r="B32" s="81" t="s">
        <v>208</v>
      </c>
      <c r="C32" s="40" t="s">
        <v>180</v>
      </c>
      <c r="D32" s="40" t="s">
        <v>462</v>
      </c>
      <c r="E32" s="41" t="s">
        <v>275</v>
      </c>
      <c r="F32" s="68"/>
      <c r="G32" s="69"/>
      <c r="H32" s="69"/>
      <c r="I32" s="68"/>
      <c r="J32" s="68"/>
      <c r="K32" s="70"/>
      <c r="L32" s="69"/>
      <c r="M32" s="69"/>
      <c r="N32" s="56" t="str">
        <f t="shared" si="0"/>
        <v>E-MTAB-1927: Transcription profiling by array of neurons differentiated from induced pluripotent stem cells carrying a mutation in the SOD1 gene, an expanded GGGGCC repeat mutation in the chromosome 9 open reading frame 72 gene and those without any (control)</v>
      </c>
    </row>
    <row r="33" spans="1:14" s="39" customFormat="1" ht="13.5" customHeight="1" x14ac:dyDescent="0.45">
      <c r="A33" s="80">
        <v>30</v>
      </c>
      <c r="B33" s="81" t="s">
        <v>209</v>
      </c>
      <c r="C33" s="40" t="s">
        <v>180</v>
      </c>
      <c r="D33" s="40" t="s">
        <v>462</v>
      </c>
      <c r="E33" s="41" t="s">
        <v>276</v>
      </c>
      <c r="F33" s="68"/>
      <c r="G33" s="69"/>
      <c r="H33" s="69"/>
      <c r="I33" s="68"/>
      <c r="J33" s="68"/>
      <c r="K33" s="70"/>
      <c r="L33" s="69"/>
      <c r="M33" s="69"/>
      <c r="N33" s="56" t="str">
        <f t="shared" si="0"/>
        <v>E-MTAB-1926: Transcription profiling by array of human fibroblasts from healthy control patients, amyotrophic lateral sclerosis (ALS) patients carrying an expanded GGGGCC repeat mutation in the chromosome 9 open reading frame 72 gene and ALS patients with a mutation in the SOD1 gene</v>
      </c>
    </row>
    <row r="34" spans="1:14" s="39" customFormat="1" ht="13.5" customHeight="1" x14ac:dyDescent="0.45">
      <c r="A34" s="80">
        <v>31</v>
      </c>
      <c r="B34" s="80" t="s">
        <v>210</v>
      </c>
      <c r="C34" s="40" t="s">
        <v>465</v>
      </c>
      <c r="D34" s="68"/>
      <c r="E34" s="41" t="s">
        <v>277</v>
      </c>
      <c r="F34" s="40" t="s">
        <v>495</v>
      </c>
      <c r="G34" s="42" t="s">
        <v>496</v>
      </c>
      <c r="H34" s="42" t="s">
        <v>494</v>
      </c>
      <c r="I34" s="40">
        <v>3</v>
      </c>
      <c r="J34" s="40">
        <v>3</v>
      </c>
      <c r="K34" s="43">
        <v>41576</v>
      </c>
      <c r="L34" s="42" t="s">
        <v>497</v>
      </c>
      <c r="M34" s="42"/>
      <c r="N34" s="56" t="str">
        <f t="shared" si="0"/>
        <v>E-MTAB-1925: Transcription profiling by array of post-mortem brain cortex from healthy control patients and amyotrophic lateral sclerosis patients that carry an expanded GGGGCC repeat mutation in the chromosome 9 open reading frame 72 (C9ORF72) gene</v>
      </c>
    </row>
    <row r="35" spans="1:14" s="39" customFormat="1" ht="13.5" customHeight="1" x14ac:dyDescent="0.45">
      <c r="A35" s="80">
        <v>32</v>
      </c>
      <c r="B35" s="81" t="s">
        <v>211</v>
      </c>
      <c r="C35" s="40" t="s">
        <v>180</v>
      </c>
      <c r="D35" s="40" t="s">
        <v>471</v>
      </c>
      <c r="E35" s="41" t="s">
        <v>278</v>
      </c>
      <c r="F35" s="68"/>
      <c r="G35" s="69"/>
      <c r="H35" s="69"/>
      <c r="I35" s="68"/>
      <c r="J35" s="68"/>
      <c r="K35" s="70"/>
      <c r="L35" s="69"/>
      <c r="M35" s="69"/>
      <c r="N35" s="56" t="str">
        <f t="shared" si="0"/>
        <v>E-MTAB-1788: Human skeletal muscle gene expression meta analysis</v>
      </c>
    </row>
    <row r="36" spans="1:14" s="39" customFormat="1" ht="13.5" customHeight="1" x14ac:dyDescent="0.45">
      <c r="A36" s="80">
        <v>33</v>
      </c>
      <c r="B36" s="81" t="s">
        <v>212</v>
      </c>
      <c r="C36" s="40" t="s">
        <v>180</v>
      </c>
      <c r="D36" s="40" t="s">
        <v>460</v>
      </c>
      <c r="E36" s="41" t="s">
        <v>279</v>
      </c>
      <c r="F36" s="68"/>
      <c r="G36" s="69"/>
      <c r="H36" s="69"/>
      <c r="I36" s="68"/>
      <c r="J36" s="68"/>
      <c r="K36" s="70"/>
      <c r="L36" s="69"/>
      <c r="M36" s="69"/>
      <c r="N36" s="56" t="str">
        <f t="shared" si="0"/>
        <v>E-GEOD-49657: The inducuction of UPR target genes in response to zinc depletion and serum starvation in HeLa cells</v>
      </c>
    </row>
    <row r="37" spans="1:14" s="39" customFormat="1" ht="13.5" customHeight="1" x14ac:dyDescent="0.45">
      <c r="A37" s="80">
        <v>34</v>
      </c>
      <c r="B37" s="81" t="s">
        <v>213</v>
      </c>
      <c r="C37" s="40" t="s">
        <v>180</v>
      </c>
      <c r="D37" s="40" t="s">
        <v>464</v>
      </c>
      <c r="E37" s="41" t="s">
        <v>280</v>
      </c>
      <c r="F37" s="68"/>
      <c r="G37" s="69"/>
      <c r="H37" s="69"/>
      <c r="I37" s="68"/>
      <c r="J37" s="68"/>
      <c r="K37" s="70"/>
      <c r="L37" s="69"/>
      <c r="M37" s="69"/>
      <c r="N37" s="56" t="str">
        <f t="shared" si="0"/>
        <v>E-GEOD-47554: DEG in human gastric carcinoma formed in stomach wall and metastasized to ovary in mice system</v>
      </c>
    </row>
    <row r="38" spans="1:14" s="39" customFormat="1" ht="13.5" customHeight="1" x14ac:dyDescent="0.45">
      <c r="A38" s="80">
        <v>35</v>
      </c>
      <c r="B38" s="81" t="s">
        <v>214</v>
      </c>
      <c r="C38" s="40" t="s">
        <v>180</v>
      </c>
      <c r="D38" s="40" t="s">
        <v>460</v>
      </c>
      <c r="E38" s="41" t="s">
        <v>281</v>
      </c>
      <c r="F38" s="68"/>
      <c r="G38" s="69"/>
      <c r="H38" s="69"/>
      <c r="I38" s="68"/>
      <c r="J38" s="68"/>
      <c r="K38" s="70"/>
      <c r="L38" s="69"/>
      <c r="M38" s="69"/>
      <c r="N38" s="56" t="str">
        <f t="shared" si="0"/>
        <v>E-GEOD-37640: Gene expression profile of TARDBP in hepatocellular carcinoma cell line (SK-Hep1)</v>
      </c>
    </row>
    <row r="39" spans="1:14" s="39" customFormat="1" ht="13.5" customHeight="1" x14ac:dyDescent="0.45">
      <c r="A39" s="80">
        <v>36</v>
      </c>
      <c r="B39" s="81" t="s">
        <v>215</v>
      </c>
      <c r="C39" s="40" t="s">
        <v>180</v>
      </c>
      <c r="D39" s="40" t="s">
        <v>460</v>
      </c>
      <c r="E39" s="41" t="s">
        <v>282</v>
      </c>
      <c r="F39" s="68"/>
      <c r="G39" s="69"/>
      <c r="H39" s="69"/>
      <c r="I39" s="68"/>
      <c r="J39" s="68"/>
      <c r="K39" s="70"/>
      <c r="L39" s="69"/>
      <c r="M39" s="69"/>
      <c r="N39" s="56" t="str">
        <f t="shared" si="0"/>
        <v>E-GEOD-40438: Gene expression profiling of resistant and vulnerable motor neuron subtypes in amyotrophic lateral sclerosis</v>
      </c>
    </row>
    <row r="40" spans="1:14" s="39" customFormat="1" ht="13.5" customHeight="1" x14ac:dyDescent="0.45">
      <c r="A40" s="80">
        <v>37</v>
      </c>
      <c r="B40" s="81" t="s">
        <v>216</v>
      </c>
      <c r="C40" s="40" t="s">
        <v>180</v>
      </c>
      <c r="D40" s="40" t="s">
        <v>463</v>
      </c>
      <c r="E40" s="41" t="s">
        <v>283</v>
      </c>
      <c r="F40" s="68"/>
      <c r="G40" s="69"/>
      <c r="H40" s="69"/>
      <c r="I40" s="68"/>
      <c r="J40" s="68"/>
      <c r="K40" s="70"/>
      <c r="L40" s="69"/>
      <c r="M40" s="69"/>
      <c r="N40" s="56" t="str">
        <f t="shared" si="0"/>
        <v>E-GEOD-41414: Gene expression analysis of ALS skeletal muscle</v>
      </c>
    </row>
    <row r="41" spans="1:14" s="39" customFormat="1" ht="13.5" customHeight="1" x14ac:dyDescent="0.45">
      <c r="A41" s="80">
        <v>38</v>
      </c>
      <c r="B41" s="81" t="s">
        <v>217</v>
      </c>
      <c r="C41" s="40" t="s">
        <v>180</v>
      </c>
      <c r="D41" s="40" t="s">
        <v>460</v>
      </c>
      <c r="E41" s="41" t="s">
        <v>284</v>
      </c>
      <c r="F41" s="68"/>
      <c r="G41" s="69"/>
      <c r="H41" s="69"/>
      <c r="I41" s="68"/>
      <c r="J41" s="68"/>
      <c r="K41" s="70"/>
      <c r="L41" s="69"/>
      <c r="M41" s="69"/>
      <c r="N41" s="56" t="str">
        <f t="shared" si="0"/>
        <v>E-GEOD-27207: Gene Expression Analysis of native and disease-corrected motor neurons from human spinal muscular atrophy induced pluripotent stem cells free of vector and transgenic sequences</v>
      </c>
    </row>
    <row r="42" spans="1:14" s="39" customFormat="1" ht="13.5" customHeight="1" x14ac:dyDescent="0.45">
      <c r="A42" s="80">
        <v>39</v>
      </c>
      <c r="B42" s="81" t="s">
        <v>218</v>
      </c>
      <c r="C42" s="40" t="s">
        <v>180</v>
      </c>
      <c r="D42" s="40" t="s">
        <v>460</v>
      </c>
      <c r="E42" s="41" t="s">
        <v>285</v>
      </c>
      <c r="F42" s="68"/>
      <c r="G42" s="69"/>
      <c r="H42" s="69"/>
      <c r="I42" s="68"/>
      <c r="J42" s="68"/>
      <c r="K42" s="70"/>
      <c r="L42" s="69"/>
      <c r="M42" s="69"/>
      <c r="N42" s="56" t="str">
        <f t="shared" si="0"/>
        <v>E-GEOD-27206: Global gene expression profiles of iPSC from SMA patient, unaffected father and iPS 19.9 compared to transcriptomic data obtained by corresponding fibroblasts</v>
      </c>
    </row>
    <row r="43" spans="1:14" s="39" customFormat="1" ht="13.5" customHeight="1" x14ac:dyDescent="0.45">
      <c r="A43" s="80">
        <v>40</v>
      </c>
      <c r="B43" s="81" t="s">
        <v>219</v>
      </c>
      <c r="C43" s="40" t="s">
        <v>180</v>
      </c>
      <c r="D43" s="40" t="s">
        <v>460</v>
      </c>
      <c r="E43" s="41" t="s">
        <v>286</v>
      </c>
      <c r="F43" s="68"/>
      <c r="G43" s="69"/>
      <c r="H43" s="69"/>
      <c r="I43" s="68"/>
      <c r="J43" s="68"/>
      <c r="K43" s="70"/>
      <c r="L43" s="69"/>
      <c r="M43" s="69"/>
      <c r="N43" s="56" t="str">
        <f t="shared" si="0"/>
        <v>E-GEOD-27205: Global gene expression profile and splicing events of iPS-derived motorneurons from SMA patient, unaffected father and TGC-treated cells</v>
      </c>
    </row>
    <row r="44" spans="1:14" s="39" customFormat="1" ht="13.5" customHeight="1" x14ac:dyDescent="0.45">
      <c r="A44" s="80">
        <v>41</v>
      </c>
      <c r="B44" s="81" t="s">
        <v>220</v>
      </c>
      <c r="C44" s="40" t="s">
        <v>180</v>
      </c>
      <c r="D44" s="40" t="s">
        <v>460</v>
      </c>
      <c r="E44" s="41" t="s">
        <v>287</v>
      </c>
      <c r="F44" s="68"/>
      <c r="G44" s="69"/>
      <c r="H44" s="69"/>
      <c r="I44" s="68"/>
      <c r="J44" s="68"/>
      <c r="K44" s="70"/>
      <c r="L44" s="69"/>
      <c r="M44" s="69"/>
      <c r="N44" s="56" t="str">
        <f t="shared" si="0"/>
        <v>E-GEOD-31243: Transcriptional Alterations of Hamstring Muscle Contractures in Children with Cerebral Palsy</v>
      </c>
    </row>
    <row r="45" spans="1:14" s="39" customFormat="1" ht="13.5" customHeight="1" x14ac:dyDescent="0.45">
      <c r="A45" s="80">
        <v>42</v>
      </c>
      <c r="B45" s="81" t="s">
        <v>221</v>
      </c>
      <c r="C45" s="40" t="s">
        <v>180</v>
      </c>
      <c r="D45" s="40" t="s">
        <v>464</v>
      </c>
      <c r="E45" s="41" t="s">
        <v>288</v>
      </c>
      <c r="F45" s="68"/>
      <c r="G45" s="69"/>
      <c r="H45" s="69"/>
      <c r="I45" s="68"/>
      <c r="J45" s="68"/>
      <c r="K45" s="70"/>
      <c r="L45" s="69"/>
      <c r="M45" s="69"/>
      <c r="N45" s="56" t="str">
        <f t="shared" si="0"/>
        <v>E-MTAB-850: Transcriptional profiling by array of human head and neck squamous cell carcinoma to study the correlation between galectin-1 upregulation and the presence of SMA positive cancer-associated fibroblasts</v>
      </c>
    </row>
    <row r="46" spans="1:14" s="39" customFormat="1" ht="13.5" customHeight="1" x14ac:dyDescent="0.45">
      <c r="A46" s="80">
        <v>43</v>
      </c>
      <c r="B46" s="81" t="s">
        <v>222</v>
      </c>
      <c r="C46" s="40" t="s">
        <v>180</v>
      </c>
      <c r="D46" s="40" t="s">
        <v>460</v>
      </c>
      <c r="E46" s="41" t="s">
        <v>289</v>
      </c>
      <c r="F46" s="68"/>
      <c r="G46" s="69"/>
      <c r="H46" s="69"/>
      <c r="I46" s="68"/>
      <c r="J46" s="68"/>
      <c r="K46" s="70"/>
      <c r="L46" s="69"/>
      <c r="M46" s="69"/>
      <c r="N46" s="56" t="str">
        <f t="shared" si="0"/>
        <v>E-GEOD-40378: Induced pluripotent stem cell models of progranulin-deficient frontotemporal dementia uncover specific reversible neuronal defects</v>
      </c>
    </row>
    <row r="47" spans="1:14" s="39" customFormat="1" ht="13.5" customHeight="1" x14ac:dyDescent="0.45">
      <c r="A47" s="80">
        <v>44</v>
      </c>
      <c r="B47" s="81" t="s">
        <v>223</v>
      </c>
      <c r="C47" s="40" t="s">
        <v>180</v>
      </c>
      <c r="D47" s="40" t="s">
        <v>460</v>
      </c>
      <c r="E47" s="41" t="s">
        <v>290</v>
      </c>
      <c r="F47" s="68"/>
      <c r="G47" s="69"/>
      <c r="H47" s="69"/>
      <c r="I47" s="68"/>
      <c r="J47" s="68"/>
      <c r="K47" s="70"/>
      <c r="L47" s="69"/>
      <c r="M47" s="69"/>
      <c r="N47" s="56" t="str">
        <f t="shared" si="0"/>
        <v>E-GEOD-39644: Amyotrophic lateral sclerosis</v>
      </c>
    </row>
    <row r="48" spans="1:14" s="39" customFormat="1" ht="13.5" customHeight="1" x14ac:dyDescent="0.45">
      <c r="A48" s="80">
        <v>45</v>
      </c>
      <c r="B48" s="81" t="s">
        <v>224</v>
      </c>
      <c r="C48" s="40" t="s">
        <v>180</v>
      </c>
      <c r="D48" s="40" t="s">
        <v>463</v>
      </c>
      <c r="E48" s="41" t="s">
        <v>291</v>
      </c>
      <c r="F48" s="68"/>
      <c r="G48" s="69"/>
      <c r="H48" s="69"/>
      <c r="I48" s="68"/>
      <c r="J48" s="68"/>
      <c r="K48" s="70"/>
      <c r="L48" s="69"/>
      <c r="M48" s="69"/>
      <c r="N48" s="56" t="str">
        <f t="shared" si="0"/>
        <v>E-GEOD-39643: NanoString miRNA profiling of peripheral blood sorted CD14+CD16- monocytes from amyotrophic lateral sclerosis, multiple sclerosis and healthy control subjects</v>
      </c>
    </row>
    <row r="49" spans="1:14" s="39" customFormat="1" ht="13.5" customHeight="1" x14ac:dyDescent="0.45">
      <c r="A49" s="80">
        <v>46</v>
      </c>
      <c r="B49" s="81" t="s">
        <v>225</v>
      </c>
      <c r="C49" s="40" t="s">
        <v>180</v>
      </c>
      <c r="D49" s="40" t="s">
        <v>460</v>
      </c>
      <c r="E49" s="41" t="s">
        <v>292</v>
      </c>
      <c r="F49" s="68"/>
      <c r="G49" s="69"/>
      <c r="H49" s="69"/>
      <c r="I49" s="68"/>
      <c r="J49" s="68"/>
      <c r="K49" s="70"/>
      <c r="L49" s="69"/>
      <c r="M49" s="69"/>
      <c r="N49" s="56" t="str">
        <f t="shared" si="0"/>
        <v>E-GEOD-39642: NanoString nCounter immune-related gene expression in blood sorted CD14+CD16- monocytes from sALS, fALS and HC subjects</v>
      </c>
    </row>
    <row r="50" spans="1:14" s="39" customFormat="1" ht="13.5" customHeight="1" x14ac:dyDescent="0.45">
      <c r="A50" s="80">
        <v>47</v>
      </c>
      <c r="B50" s="81" t="s">
        <v>226</v>
      </c>
      <c r="C50" s="40" t="s">
        <v>180</v>
      </c>
      <c r="D50" s="40" t="s">
        <v>460</v>
      </c>
      <c r="E50" s="41" t="s">
        <v>293</v>
      </c>
      <c r="F50" s="68"/>
      <c r="G50" s="69"/>
      <c r="H50" s="69"/>
      <c r="I50" s="68"/>
      <c r="J50" s="68"/>
      <c r="K50" s="70"/>
      <c r="L50" s="69"/>
      <c r="M50" s="69"/>
      <c r="N50" s="56" t="str">
        <f t="shared" si="0"/>
        <v>E-GEOD-30806: Expression profiling in VCP-associated myopathy</v>
      </c>
    </row>
    <row r="51" spans="1:14" s="39" customFormat="1" ht="13.5" customHeight="1" x14ac:dyDescent="0.45">
      <c r="A51" s="80">
        <v>48</v>
      </c>
      <c r="B51" s="81" t="s">
        <v>227</v>
      </c>
      <c r="C51" s="40" t="s">
        <v>180</v>
      </c>
      <c r="D51" s="40" t="s">
        <v>498</v>
      </c>
      <c r="E51" s="41" t="s">
        <v>294</v>
      </c>
      <c r="F51" s="68"/>
      <c r="G51" s="69"/>
      <c r="H51" s="69"/>
      <c r="I51" s="68"/>
      <c r="J51" s="68"/>
      <c r="K51" s="70"/>
      <c r="L51" s="69"/>
      <c r="M51" s="69"/>
      <c r="N51" s="56" t="str">
        <f t="shared" si="0"/>
        <v>E-GEOD-27564: Gene expression profiles of subepithelial myofibroblasts from mouse ileum or colon, implanted together with human cancer cells in mouse xenografts</v>
      </c>
    </row>
    <row r="52" spans="1:14" s="39" customFormat="1" ht="13.5" customHeight="1" x14ac:dyDescent="0.45">
      <c r="A52" s="80">
        <v>49</v>
      </c>
      <c r="B52" s="81" t="s">
        <v>228</v>
      </c>
      <c r="C52" s="40" t="s">
        <v>180</v>
      </c>
      <c r="D52" s="40" t="s">
        <v>463</v>
      </c>
      <c r="E52" s="41" t="s">
        <v>295</v>
      </c>
      <c r="F52" s="68"/>
      <c r="G52" s="69"/>
      <c r="H52" s="69"/>
      <c r="I52" s="68"/>
      <c r="J52" s="68"/>
      <c r="K52" s="70"/>
      <c r="L52" s="69"/>
      <c r="M52" s="69"/>
      <c r="N52" s="56" t="str">
        <f t="shared" si="0"/>
        <v>E-MEXP-3260: Muscle Gene Expression Is a Marker of Amyotrophic Lateral Sclerosis Severity</v>
      </c>
    </row>
    <row r="53" spans="1:14" s="39" customFormat="1" ht="13.5" customHeight="1" x14ac:dyDescent="0.45">
      <c r="A53" s="80">
        <v>50</v>
      </c>
      <c r="B53" s="81" t="s">
        <v>229</v>
      </c>
      <c r="C53" s="40" t="s">
        <v>180</v>
      </c>
      <c r="D53" s="40" t="s">
        <v>460</v>
      </c>
      <c r="E53" s="41" t="s">
        <v>296</v>
      </c>
      <c r="F53" s="68"/>
      <c r="G53" s="69"/>
      <c r="H53" s="69"/>
      <c r="I53" s="68"/>
      <c r="J53" s="68"/>
      <c r="K53" s="70"/>
      <c r="L53" s="69"/>
      <c r="M53" s="69"/>
      <c r="N53" s="56" t="str">
        <f t="shared" si="0"/>
        <v>E-GEOD-28253: Peripheral blood lymphocytes: ALS patients vs. healthy controls</v>
      </c>
    </row>
    <row r="54" spans="1:14" s="39" customFormat="1" ht="13.5" customHeight="1" x14ac:dyDescent="0.45">
      <c r="A54" s="80">
        <v>51</v>
      </c>
      <c r="B54" s="81" t="s">
        <v>230</v>
      </c>
      <c r="C54" s="40" t="s">
        <v>180</v>
      </c>
      <c r="D54" s="40" t="s">
        <v>460</v>
      </c>
      <c r="E54" s="41" t="s">
        <v>297</v>
      </c>
      <c r="F54" s="68"/>
      <c r="G54" s="69"/>
      <c r="H54" s="69"/>
      <c r="I54" s="68"/>
      <c r="J54" s="68"/>
      <c r="K54" s="70"/>
      <c r="L54" s="69"/>
      <c r="M54" s="69"/>
      <c r="N54" s="56" t="str">
        <f t="shared" si="0"/>
        <v>E-GEOD-31772: Functional Genomic Analyses Identify Pathways Dysregulated by Progranulin Deficiency Implicating Wnt Signaling</v>
      </c>
    </row>
    <row r="55" spans="1:14" s="44" customFormat="1" ht="13.5" customHeight="1" x14ac:dyDescent="0.45">
      <c r="A55" s="106">
        <v>52</v>
      </c>
      <c r="B55" s="106" t="s">
        <v>77</v>
      </c>
      <c r="C55" s="105" t="s">
        <v>465</v>
      </c>
      <c r="D55" s="107"/>
      <c r="E55" s="108" t="s">
        <v>153</v>
      </c>
      <c r="F55" s="105" t="s">
        <v>466</v>
      </c>
      <c r="G55" s="78" t="s">
        <v>499</v>
      </c>
      <c r="H55" s="78" t="s">
        <v>502</v>
      </c>
      <c r="I55" s="79">
        <v>9</v>
      </c>
      <c r="J55" s="40">
        <v>4</v>
      </c>
      <c r="K55" s="100">
        <v>40774</v>
      </c>
      <c r="L55" s="101" t="s">
        <v>469</v>
      </c>
      <c r="M55" s="101" t="s">
        <v>470</v>
      </c>
      <c r="N55" s="102" t="str">
        <f t="shared" si="0"/>
        <v>E-MTAB-656: Alternative splicing in human temporal cortex</v>
      </c>
    </row>
    <row r="56" spans="1:14" s="45" customFormat="1" ht="13.5" customHeight="1" x14ac:dyDescent="0.45">
      <c r="A56" s="106"/>
      <c r="B56" s="106"/>
      <c r="C56" s="105"/>
      <c r="D56" s="107"/>
      <c r="E56" s="108"/>
      <c r="F56" s="105"/>
      <c r="G56" s="78" t="s">
        <v>500</v>
      </c>
      <c r="H56" s="78" t="s">
        <v>503</v>
      </c>
      <c r="I56" s="79">
        <v>9</v>
      </c>
      <c r="J56" s="40">
        <v>3</v>
      </c>
      <c r="K56" s="100"/>
      <c r="L56" s="101"/>
      <c r="M56" s="101"/>
      <c r="N56" s="104"/>
    </row>
    <row r="57" spans="1:14" s="38" customFormat="1" ht="13.5" customHeight="1" x14ac:dyDescent="0.45">
      <c r="A57" s="106"/>
      <c r="B57" s="106"/>
      <c r="C57" s="105"/>
      <c r="D57" s="107"/>
      <c r="E57" s="108"/>
      <c r="F57" s="105"/>
      <c r="G57" s="78" t="s">
        <v>501</v>
      </c>
      <c r="H57" s="78" t="s">
        <v>504</v>
      </c>
      <c r="I57" s="79">
        <v>9</v>
      </c>
      <c r="J57" s="40">
        <v>3</v>
      </c>
      <c r="K57" s="100"/>
      <c r="L57" s="101"/>
      <c r="M57" s="101"/>
      <c r="N57" s="103"/>
    </row>
    <row r="58" spans="1:14" s="39" customFormat="1" ht="13.5" customHeight="1" x14ac:dyDescent="0.45">
      <c r="A58" s="80">
        <v>53</v>
      </c>
      <c r="B58" s="81" t="s">
        <v>231</v>
      </c>
      <c r="C58" s="40" t="s">
        <v>180</v>
      </c>
      <c r="D58" s="40" t="s">
        <v>460</v>
      </c>
      <c r="E58" s="41" t="s">
        <v>298</v>
      </c>
      <c r="F58" s="68"/>
      <c r="G58" s="69"/>
      <c r="H58" s="69"/>
      <c r="I58" s="68"/>
      <c r="J58" s="68"/>
      <c r="K58" s="70"/>
      <c r="L58" s="69"/>
      <c r="M58" s="69"/>
      <c r="N58" s="56" t="str">
        <f t="shared" si="0"/>
        <v>E-GEOD-26276: Evaluation of differential gene expression in patients with amyotrophic lateral sclerosis (ALS)</v>
      </c>
    </row>
    <row r="59" spans="1:14" s="39" customFormat="1" ht="13.5" customHeight="1" x14ac:dyDescent="0.45">
      <c r="A59" s="80">
        <v>54</v>
      </c>
      <c r="B59" s="81" t="s">
        <v>81</v>
      </c>
      <c r="C59" s="40" t="s">
        <v>180</v>
      </c>
      <c r="D59" s="40" t="s">
        <v>460</v>
      </c>
      <c r="E59" s="41" t="s">
        <v>157</v>
      </c>
      <c r="F59" s="68"/>
      <c r="G59" s="69"/>
      <c r="H59" s="69"/>
      <c r="I59" s="68"/>
      <c r="J59" s="68"/>
      <c r="K59" s="70"/>
      <c r="L59" s="69"/>
      <c r="M59" s="69"/>
      <c r="N59" s="56" t="str">
        <f t="shared" si="0"/>
        <v>E-GEOD-26927: Common neuroinflammatory pathways in neurodegenerative diseases</v>
      </c>
    </row>
    <row r="60" spans="1:14" s="39" customFormat="1" ht="13.5" customHeight="1" x14ac:dyDescent="0.45">
      <c r="A60" s="80">
        <v>55</v>
      </c>
      <c r="B60" s="81" t="s">
        <v>232</v>
      </c>
      <c r="C60" s="40" t="s">
        <v>180</v>
      </c>
      <c r="D60" s="40" t="s">
        <v>460</v>
      </c>
      <c r="E60" s="41" t="s">
        <v>299</v>
      </c>
      <c r="F60" s="68"/>
      <c r="G60" s="69"/>
      <c r="H60" s="69"/>
      <c r="I60" s="68"/>
      <c r="J60" s="68"/>
      <c r="K60" s="70"/>
      <c r="L60" s="69"/>
      <c r="M60" s="69"/>
      <c r="N60" s="56" t="str">
        <f t="shared" si="0"/>
        <v>E-GEOD-20589: Microarray analysis identifies the gene signature of surviving motor neurons in human SOD1-related motor neuron disease</v>
      </c>
    </row>
    <row r="61" spans="1:14" s="39" customFormat="1" ht="13.5" customHeight="1" x14ac:dyDescent="0.45">
      <c r="A61" s="80">
        <v>56</v>
      </c>
      <c r="B61" s="81" t="s">
        <v>233</v>
      </c>
      <c r="C61" s="40" t="s">
        <v>180</v>
      </c>
      <c r="D61" s="40" t="s">
        <v>463</v>
      </c>
      <c r="E61" s="41" t="s">
        <v>300</v>
      </c>
      <c r="F61" s="68"/>
      <c r="G61" s="69"/>
      <c r="H61" s="69"/>
      <c r="I61" s="68"/>
      <c r="J61" s="68"/>
      <c r="K61" s="70"/>
      <c r="L61" s="69"/>
      <c r="M61" s="69"/>
      <c r="N61" s="56" t="str">
        <f t="shared" si="0"/>
        <v>E-TABM-940: Transcription profiling of human blood from patients with ALS vs healthy</v>
      </c>
    </row>
    <row r="62" spans="1:14" s="39" customFormat="1" ht="13.5" customHeight="1" x14ac:dyDescent="0.45">
      <c r="A62" s="80">
        <v>57</v>
      </c>
      <c r="B62" s="81" t="s">
        <v>84</v>
      </c>
      <c r="C62" s="40" t="s">
        <v>180</v>
      </c>
      <c r="D62" s="40" t="s">
        <v>460</v>
      </c>
      <c r="E62" s="41" t="s">
        <v>160</v>
      </c>
      <c r="F62" s="68"/>
      <c r="G62" s="69"/>
      <c r="H62" s="69"/>
      <c r="I62" s="68"/>
      <c r="J62" s="68"/>
      <c r="K62" s="70"/>
      <c r="L62" s="69"/>
      <c r="M62" s="69"/>
      <c r="N62" s="56" t="str">
        <f t="shared" si="0"/>
        <v>E-GEOD-21450: Dysregulated expression and alternative splicing of genes controlling neuritogenesis and axon guidance revealed by exon-sensitive microarrays in models of neurodegeneration</v>
      </c>
    </row>
    <row r="63" spans="1:14" s="39" customFormat="1" ht="13.5" customHeight="1" x14ac:dyDescent="0.45">
      <c r="A63" s="80">
        <v>58</v>
      </c>
      <c r="B63" s="81" t="s">
        <v>234</v>
      </c>
      <c r="C63" s="40" t="s">
        <v>180</v>
      </c>
      <c r="D63" s="40" t="s">
        <v>462</v>
      </c>
      <c r="E63" s="41" t="s">
        <v>301</v>
      </c>
      <c r="F63" s="68"/>
      <c r="G63" s="69"/>
      <c r="H63" s="69"/>
      <c r="I63" s="68"/>
      <c r="J63" s="68"/>
      <c r="K63" s="70"/>
      <c r="L63" s="69"/>
      <c r="M63" s="69"/>
      <c r="N63" s="56" t="str">
        <f t="shared" si="0"/>
        <v>E-GEOD-21298: Profiling wt SOD versus ALS SOD1(G93A) mutant</v>
      </c>
    </row>
    <row r="64" spans="1:14" s="39" customFormat="1" ht="13.5" customHeight="1" x14ac:dyDescent="0.45">
      <c r="A64" s="80">
        <v>59</v>
      </c>
      <c r="B64" s="81" t="s">
        <v>235</v>
      </c>
      <c r="C64" s="40" t="s">
        <v>180</v>
      </c>
      <c r="D64" s="40" t="s">
        <v>498</v>
      </c>
      <c r="E64" s="41" t="s">
        <v>302</v>
      </c>
      <c r="F64" s="68"/>
      <c r="G64" s="69"/>
      <c r="H64" s="69"/>
      <c r="I64" s="68"/>
      <c r="J64" s="68"/>
      <c r="K64" s="70"/>
      <c r="L64" s="69"/>
      <c r="M64" s="69"/>
      <c r="N64" s="56" t="str">
        <f t="shared" si="0"/>
        <v>E-GEOD-21929: Specified Bacterial Species in Gingival Crevicular Fluid Predict Diversity of  Unattached Subgingival Microbiota</v>
      </c>
    </row>
    <row r="65" spans="1:14" s="39" customFormat="1" ht="13.5" customHeight="1" x14ac:dyDescent="0.45">
      <c r="A65" s="80">
        <v>60</v>
      </c>
      <c r="B65" s="81" t="s">
        <v>236</v>
      </c>
      <c r="C65" s="40" t="s">
        <v>180</v>
      </c>
      <c r="D65" s="40" t="s">
        <v>460</v>
      </c>
      <c r="E65" s="41" t="s">
        <v>303</v>
      </c>
      <c r="F65" s="68"/>
      <c r="G65" s="69"/>
      <c r="H65" s="69"/>
      <c r="I65" s="68"/>
      <c r="J65" s="68"/>
      <c r="K65" s="70"/>
      <c r="L65" s="69"/>
      <c r="M65" s="69"/>
      <c r="N65" s="56" t="str">
        <f t="shared" si="0"/>
        <v>E-GEOD-19519: Transcription profiling by array of human immortalized B cells from unrelated individuals or twins after treatment with tunicamycin or thapsigargin</v>
      </c>
    </row>
    <row r="66" spans="1:14" s="39" customFormat="1" ht="13.5" customHeight="1" x14ac:dyDescent="0.45">
      <c r="A66" s="80">
        <v>61</v>
      </c>
      <c r="B66" s="81" t="s">
        <v>237</v>
      </c>
      <c r="C66" s="40" t="s">
        <v>180</v>
      </c>
      <c r="D66" s="40" t="s">
        <v>460</v>
      </c>
      <c r="E66" s="41" t="s">
        <v>304</v>
      </c>
      <c r="F66" s="68"/>
      <c r="G66" s="69"/>
      <c r="H66" s="69"/>
      <c r="I66" s="68"/>
      <c r="J66" s="68"/>
      <c r="K66" s="70"/>
      <c r="L66" s="69"/>
      <c r="M66" s="69"/>
      <c r="N66" s="56" t="str">
        <f t="shared" si="0"/>
        <v>E-GEOD-19332: Mutations in CHMP2B in lower motor neuron predominant amyotrophic lateral sclerosis (ALS)</v>
      </c>
    </row>
    <row r="67" spans="1:14" s="39" customFormat="1" ht="13.5" customHeight="1" x14ac:dyDescent="0.45">
      <c r="A67" s="80">
        <v>62</v>
      </c>
      <c r="B67" s="80" t="s">
        <v>90</v>
      </c>
      <c r="C67" s="40" t="s">
        <v>465</v>
      </c>
      <c r="D67" s="68"/>
      <c r="E67" s="41" t="s">
        <v>166</v>
      </c>
      <c r="F67" s="40" t="s">
        <v>472</v>
      </c>
      <c r="G67" s="42" t="s">
        <v>473</v>
      </c>
      <c r="H67" s="42" t="s">
        <v>468</v>
      </c>
      <c r="I67" s="40">
        <v>5</v>
      </c>
      <c r="J67" s="40">
        <v>12</v>
      </c>
      <c r="K67" s="43">
        <v>40192</v>
      </c>
      <c r="L67" s="42" t="s">
        <v>474</v>
      </c>
      <c r="M67" s="42" t="s">
        <v>470</v>
      </c>
      <c r="N67" s="56" t="str">
        <f t="shared" si="0"/>
        <v>E-MEXP-2280: Transcription profiling of patients with four neurodegenerative disorders distinguishes tauopathies and identifies shared molecular pathways</v>
      </c>
    </row>
    <row r="68" spans="1:14" s="39" customFormat="1" ht="13.5" customHeight="1" x14ac:dyDescent="0.45">
      <c r="A68" s="80">
        <v>63</v>
      </c>
      <c r="B68" s="81" t="s">
        <v>238</v>
      </c>
      <c r="C68" s="40" t="s">
        <v>180</v>
      </c>
      <c r="D68" s="40" t="s">
        <v>464</v>
      </c>
      <c r="E68" s="41" t="s">
        <v>305</v>
      </c>
      <c r="F68" s="68"/>
      <c r="G68" s="69"/>
      <c r="H68" s="69"/>
      <c r="I68" s="68"/>
      <c r="J68" s="68"/>
      <c r="K68" s="70"/>
      <c r="L68" s="69"/>
      <c r="M68" s="69"/>
      <c r="N68" s="56" t="str">
        <f t="shared" ref="N68:N79" si="1">HYPERLINK(_xlfn.CONCAT("https://www.ebi.ac.uk/arrayexpress/experiments/",B68), _xlfn.CONCAT(B68, ": ", E68))</f>
        <v>E-GEOD-16191: EGR4 is a master gene responsible for fertility in cryptorchidism</v>
      </c>
    </row>
    <row r="69" spans="1:14" s="39" customFormat="1" ht="13.5" customHeight="1" x14ac:dyDescent="0.45">
      <c r="A69" s="80">
        <v>64</v>
      </c>
      <c r="B69" s="81" t="s">
        <v>239</v>
      </c>
      <c r="C69" s="40" t="s">
        <v>180</v>
      </c>
      <c r="D69" s="40" t="s">
        <v>460</v>
      </c>
      <c r="E69" s="41" t="s">
        <v>306</v>
      </c>
      <c r="F69" s="68"/>
      <c r="G69" s="69"/>
      <c r="H69" s="69"/>
      <c r="I69" s="68"/>
      <c r="J69" s="68"/>
      <c r="K69" s="70"/>
      <c r="L69" s="69"/>
      <c r="M69" s="69"/>
      <c r="N69" s="56" t="str">
        <f t="shared" si="1"/>
        <v>E-GEOD-13828: Transcription profiling of human spinal muscular atrophy patient induced pluripotent stem cells</v>
      </c>
    </row>
    <row r="70" spans="1:14" s="39" customFormat="1" ht="13.5" customHeight="1" x14ac:dyDescent="0.45">
      <c r="A70" s="80">
        <v>65</v>
      </c>
      <c r="B70" s="81" t="s">
        <v>240</v>
      </c>
      <c r="C70" s="40" t="s">
        <v>180</v>
      </c>
      <c r="D70" s="40" t="s">
        <v>464</v>
      </c>
      <c r="E70" s="41" t="s">
        <v>307</v>
      </c>
      <c r="F70" s="68"/>
      <c r="G70" s="69"/>
      <c r="H70" s="69"/>
      <c r="I70" s="68"/>
      <c r="J70" s="68"/>
      <c r="K70" s="70"/>
      <c r="L70" s="69"/>
      <c r="M70" s="69"/>
      <c r="N70" s="56" t="str">
        <f t="shared" si="1"/>
        <v>E-GEOD-12288: Gene expression patterns in peripheral blood correlate with the extent of coronary artery disease</v>
      </c>
    </row>
    <row r="71" spans="1:14" s="39" customFormat="1" ht="13.5" customHeight="1" x14ac:dyDescent="0.45">
      <c r="A71" s="80">
        <v>66</v>
      </c>
      <c r="B71" s="81" t="s">
        <v>241</v>
      </c>
      <c r="C71" s="40" t="s">
        <v>180</v>
      </c>
      <c r="D71" s="40" t="s">
        <v>460</v>
      </c>
      <c r="E71" s="41" t="s">
        <v>308</v>
      </c>
      <c r="F71" s="68"/>
      <c r="G71" s="69"/>
      <c r="H71" s="69"/>
      <c r="I71" s="68"/>
      <c r="J71" s="68"/>
      <c r="K71" s="70"/>
      <c r="L71" s="69"/>
      <c r="M71" s="69"/>
      <c r="N71" s="56" t="str">
        <f t="shared" si="1"/>
        <v>E-GEOD-13162: Transcription profiling of human postmortem brain samples with and without FTLD-U</v>
      </c>
    </row>
    <row r="72" spans="1:14" s="39" customFormat="1" ht="13.5" customHeight="1" x14ac:dyDescent="0.45">
      <c r="A72" s="80">
        <v>67</v>
      </c>
      <c r="B72" s="81" t="s">
        <v>242</v>
      </c>
      <c r="C72" s="40" t="s">
        <v>180</v>
      </c>
      <c r="D72" s="40" t="s">
        <v>463</v>
      </c>
      <c r="E72" s="41" t="s">
        <v>309</v>
      </c>
      <c r="F72" s="68"/>
      <c r="G72" s="69"/>
      <c r="H72" s="69"/>
      <c r="I72" s="68"/>
      <c r="J72" s="68"/>
      <c r="K72" s="70"/>
      <c r="L72" s="69"/>
      <c r="M72" s="69"/>
      <c r="N72" s="56" t="str">
        <f t="shared" si="1"/>
        <v>E-GEOD-4590: Transcription profiling of human B cells at four cconsecutive stages of B cell development</v>
      </c>
    </row>
    <row r="73" spans="1:14" s="39" customFormat="1" ht="13.5" customHeight="1" x14ac:dyDescent="0.45">
      <c r="A73" s="80">
        <v>68</v>
      </c>
      <c r="B73" s="81" t="s">
        <v>243</v>
      </c>
      <c r="C73" s="40" t="s">
        <v>180</v>
      </c>
      <c r="D73" s="40" t="s">
        <v>460</v>
      </c>
      <c r="E73" s="41" t="s">
        <v>310</v>
      </c>
      <c r="F73" s="68"/>
      <c r="G73" s="69"/>
      <c r="H73" s="69"/>
      <c r="I73" s="68"/>
      <c r="J73" s="68"/>
      <c r="K73" s="70"/>
      <c r="L73" s="69"/>
      <c r="M73" s="69"/>
      <c r="N73" s="56" t="str">
        <f t="shared" si="1"/>
        <v>E-GEOD-9397: Transcription profiling of human Facioscapulohumeral muscular dystrophy (FSHD) muscle profiles</v>
      </c>
    </row>
    <row r="74" spans="1:14" s="39" customFormat="1" ht="13.5" customHeight="1" x14ac:dyDescent="0.45">
      <c r="A74" s="80">
        <v>69</v>
      </c>
      <c r="B74" s="81" t="s">
        <v>244</v>
      </c>
      <c r="C74" s="40" t="s">
        <v>180</v>
      </c>
      <c r="D74" s="40" t="s">
        <v>464</v>
      </c>
      <c r="E74" s="41" t="s">
        <v>311</v>
      </c>
      <c r="F74" s="68"/>
      <c r="G74" s="69"/>
      <c r="H74" s="69"/>
      <c r="I74" s="68"/>
      <c r="J74" s="68"/>
      <c r="K74" s="70"/>
      <c r="L74" s="69"/>
      <c r="M74" s="69"/>
      <c r="N74" s="56" t="str">
        <f t="shared" si="1"/>
        <v>E-GEOD-5287: Transcription profiling of human advanced bladder cancer to predict response and survival following chemotherapy in patients</v>
      </c>
    </row>
    <row r="75" spans="1:14" s="39" customFormat="1" ht="13.5" customHeight="1" x14ac:dyDescent="0.45">
      <c r="A75" s="80">
        <v>70</v>
      </c>
      <c r="B75" s="81" t="s">
        <v>245</v>
      </c>
      <c r="C75" s="40" t="s">
        <v>180</v>
      </c>
      <c r="D75" s="40" t="s">
        <v>460</v>
      </c>
      <c r="E75" s="41" t="s">
        <v>312</v>
      </c>
      <c r="F75" s="68"/>
      <c r="G75" s="69"/>
      <c r="H75" s="69"/>
      <c r="I75" s="68"/>
      <c r="J75" s="68"/>
      <c r="K75" s="70"/>
      <c r="L75" s="69"/>
      <c r="M75" s="69"/>
      <c r="N75" s="56" t="str">
        <f t="shared" si="1"/>
        <v>E-GEOD-4595: Transcription profiling of human motor cortex in sporadic amyotrophic lateral sclerosis</v>
      </c>
    </row>
    <row r="76" spans="1:14" s="39" customFormat="1" ht="13.5" customHeight="1" x14ac:dyDescent="0.45">
      <c r="A76" s="80">
        <v>71</v>
      </c>
      <c r="B76" s="81" t="s">
        <v>246</v>
      </c>
      <c r="C76" s="40" t="s">
        <v>180</v>
      </c>
      <c r="D76" s="40" t="s">
        <v>464</v>
      </c>
      <c r="E76" s="41" t="s">
        <v>313</v>
      </c>
      <c r="F76" s="68"/>
      <c r="G76" s="69"/>
      <c r="H76" s="69"/>
      <c r="I76" s="68"/>
      <c r="J76" s="68"/>
      <c r="K76" s="70"/>
      <c r="L76" s="69"/>
      <c r="M76" s="69"/>
      <c r="N76" s="56" t="str">
        <f t="shared" si="1"/>
        <v>E-GEOD-7423: Transcription profiling of human  Schwann cells FROM HMSN1A, HMSN-LOM AND congenital cateracts facial  dysmophism neuropathy (CCFDN) syndrome TO identify down-stream effects  IN demyelinating neuropathies</v>
      </c>
    </row>
    <row r="77" spans="1:14" s="39" customFormat="1" ht="13.5" customHeight="1" x14ac:dyDescent="0.45">
      <c r="A77" s="80">
        <v>72</v>
      </c>
      <c r="B77" s="81" t="s">
        <v>98</v>
      </c>
      <c r="C77" s="40" t="s">
        <v>180</v>
      </c>
      <c r="D77" s="40" t="s">
        <v>471</v>
      </c>
      <c r="E77" s="41" t="s">
        <v>174</v>
      </c>
      <c r="F77" s="68"/>
      <c r="G77" s="69"/>
      <c r="H77" s="69"/>
      <c r="I77" s="68"/>
      <c r="J77" s="68"/>
      <c r="K77" s="70"/>
      <c r="L77" s="69"/>
      <c r="M77" s="69"/>
      <c r="N77" s="56" t="str">
        <f t="shared" si="1"/>
        <v>E-TABM-185: Transcription profiling by array of integrated human experiments involving the hgu133a platform to investigate a global map of human gene expression</v>
      </c>
    </row>
    <row r="78" spans="1:14" s="39" customFormat="1" ht="13.5" customHeight="1" x14ac:dyDescent="0.45">
      <c r="A78" s="80">
        <v>73</v>
      </c>
      <c r="B78" s="81" t="s">
        <v>247</v>
      </c>
      <c r="C78" s="40" t="s">
        <v>180</v>
      </c>
      <c r="D78" s="40" t="s">
        <v>460</v>
      </c>
      <c r="E78" s="41" t="s">
        <v>314</v>
      </c>
      <c r="F78" s="68"/>
      <c r="G78" s="69"/>
      <c r="H78" s="69"/>
      <c r="I78" s="68"/>
      <c r="J78" s="68"/>
      <c r="K78" s="70"/>
      <c r="L78" s="69"/>
      <c r="M78" s="69"/>
      <c r="N78" s="56" t="str">
        <f t="shared" si="1"/>
        <v>E-GEOD-833: Transcription profiling of human post mortem spinal cord grey matter from sporadic and familial ALS patients vs controls to identify amyotrophic lateral sclerosis (ALS) associated genes</v>
      </c>
    </row>
    <row r="79" spans="1:14" s="39" customFormat="1" ht="13.5" customHeight="1" x14ac:dyDescent="0.45">
      <c r="A79" s="80">
        <v>74</v>
      </c>
      <c r="B79" s="81" t="s">
        <v>248</v>
      </c>
      <c r="C79" s="40" t="s">
        <v>180</v>
      </c>
      <c r="D79" s="40" t="s">
        <v>460</v>
      </c>
      <c r="E79" s="41" t="s">
        <v>315</v>
      </c>
      <c r="F79" s="68"/>
      <c r="G79" s="69"/>
      <c r="H79" s="69"/>
      <c r="I79" s="68"/>
      <c r="J79" s="68"/>
      <c r="K79" s="70"/>
      <c r="L79" s="69"/>
      <c r="M79" s="69"/>
      <c r="N79" s="56" t="str">
        <f t="shared" si="1"/>
        <v>E-GEOD-3307: Transcription profiling by array of 12 human muscle diseases</v>
      </c>
    </row>
    <row r="80" spans="1:14" ht="13.5" customHeight="1" x14ac:dyDescent="0.45">
      <c r="A80" s="73"/>
      <c r="B80" s="74"/>
    </row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</sheetData>
  <autoFilter ref="D2:D79" xr:uid="{8A4DBBA3-BCD7-4B76-8A5E-7D4B96E190C3}"/>
  <mergeCells count="20">
    <mergeCell ref="F55:F57"/>
    <mergeCell ref="A5:A6"/>
    <mergeCell ref="B5:B6"/>
    <mergeCell ref="C5:C6"/>
    <mergeCell ref="D5:D6"/>
    <mergeCell ref="E5:E6"/>
    <mergeCell ref="F5:F6"/>
    <mergeCell ref="B55:B57"/>
    <mergeCell ref="A55:A57"/>
    <mergeCell ref="C55:C57"/>
    <mergeCell ref="D55:D57"/>
    <mergeCell ref="E55:E57"/>
    <mergeCell ref="K55:K57"/>
    <mergeCell ref="L55:L57"/>
    <mergeCell ref="M55:M57"/>
    <mergeCell ref="N5:N6"/>
    <mergeCell ref="N55:N57"/>
    <mergeCell ref="K5:K6"/>
    <mergeCell ref="L5:L6"/>
    <mergeCell ref="M5:M6"/>
  </mergeCells>
  <dataValidations count="2">
    <dataValidation type="list" allowBlank="1" showInputMessage="1" showErrorMessage="1" sqref="D1:D5 D7:D55 D58:D1048576" xr:uid="{71126AA8-AB99-4150-93E4-CC5B4992ABDD}">
      <formula1>"Duplicate Study, Duplicate Study (GEO), Reanalysis, Not Human, Not Expression Profiling, Not Brain Tissue, Not Case-Control, Not Disease in Question, Cell-Line or Other Disease Model, Demonstrating Treatment Effects"</formula1>
    </dataValidation>
    <dataValidation type="list" allowBlank="1" showInputMessage="1" showErrorMessage="1" sqref="C1:C5 C7:C55 C58:C1048576" xr:uid="{7B8FAB4A-A5B5-4CF4-B894-3C1C6ED93CA3}">
      <formula1>"No, Yes"</formula1>
    </dataValidation>
  </dataValidation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75F2-FD7C-467E-95B8-865587CD08F5}">
  <dimension ref="A1:P77"/>
  <sheetViews>
    <sheetView zoomScale="75" zoomScaleNormal="75" workbookViewId="0">
      <pane ySplit="2" topLeftCell="A3" activePane="bottomLeft" state="frozen"/>
      <selection pane="bottomLeft"/>
    </sheetView>
  </sheetViews>
  <sheetFormatPr defaultRowHeight="13.5" x14ac:dyDescent="0.45"/>
  <cols>
    <col min="1" max="1" width="2.46484375" style="86" customWidth="1"/>
    <col min="2" max="2" width="6.9296875" style="51" customWidth="1"/>
    <col min="3" max="3" width="20.3984375" style="3" customWidth="1"/>
    <col min="4" max="4" width="30.59765625" style="52" customWidth="1"/>
    <col min="5" max="5" width="15.59765625" style="3" customWidth="1"/>
    <col min="6" max="6" width="23.59765625" style="53" customWidth="1"/>
    <col min="7" max="7" width="9.59765625" style="53" customWidth="1"/>
    <col min="8" max="9" width="12.59765625" style="3" customWidth="1"/>
    <col min="10" max="10" width="13.59765625" style="54" customWidth="1"/>
    <col min="11" max="11" width="31.86328125" style="53" customWidth="1"/>
    <col min="12" max="12" width="26.6640625" style="53" customWidth="1"/>
    <col min="13" max="13" width="187.796875" style="19" bestFit="1" customWidth="1"/>
    <col min="14" max="16384" width="9.06640625" style="3"/>
  </cols>
  <sheetData>
    <row r="1" spans="1:16" s="58" customFormat="1" ht="25.9" customHeight="1" thickBot="1" x14ac:dyDescent="0.5">
      <c r="A1" s="46" t="s">
        <v>508</v>
      </c>
      <c r="B1" s="47"/>
      <c r="C1" s="46"/>
      <c r="D1" s="47"/>
      <c r="E1" s="46"/>
      <c r="F1" s="47"/>
      <c r="G1" s="47"/>
      <c r="H1" s="46"/>
      <c r="I1" s="46"/>
      <c r="J1" s="48"/>
      <c r="K1" s="47"/>
      <c r="L1" s="47"/>
      <c r="M1" s="57"/>
    </row>
    <row r="2" spans="1:16" s="60" customFormat="1" ht="20.350000000000001" customHeight="1" x14ac:dyDescent="0.45">
      <c r="A2" s="83"/>
      <c r="B2" s="89" t="s">
        <v>16</v>
      </c>
      <c r="C2" s="8" t="s">
        <v>505</v>
      </c>
      <c r="D2" s="10" t="s">
        <v>12</v>
      </c>
      <c r="E2" s="9" t="s">
        <v>8</v>
      </c>
      <c r="F2" s="10" t="s">
        <v>5</v>
      </c>
      <c r="G2" s="10" t="s">
        <v>13</v>
      </c>
      <c r="H2" s="9" t="s">
        <v>7</v>
      </c>
      <c r="I2" s="9" t="s">
        <v>6</v>
      </c>
      <c r="J2" s="11" t="s">
        <v>14</v>
      </c>
      <c r="K2" s="10" t="s">
        <v>9</v>
      </c>
      <c r="L2" s="10" t="s">
        <v>10</v>
      </c>
      <c r="M2" s="16" t="s">
        <v>11</v>
      </c>
      <c r="N2" s="59"/>
      <c r="O2" s="59"/>
      <c r="P2" s="59"/>
    </row>
    <row r="3" spans="1:16" s="61" customFormat="1" ht="13.5" customHeight="1" thickBot="1" x14ac:dyDescent="0.5">
      <c r="A3" s="8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6" s="62" customFormat="1" ht="20" customHeight="1" thickBot="1" x14ac:dyDescent="0.5">
      <c r="A4" s="85"/>
      <c r="B4" s="115" t="s">
        <v>506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7"/>
    </row>
    <row r="5" spans="1:16" s="45" customFormat="1" ht="13.5" customHeight="1" x14ac:dyDescent="0.45">
      <c r="A5" s="86"/>
      <c r="B5" s="82">
        <v>50</v>
      </c>
      <c r="C5" s="80" t="s">
        <v>77</v>
      </c>
      <c r="D5" s="41" t="s">
        <v>153</v>
      </c>
      <c r="E5" s="40" t="s">
        <v>466</v>
      </c>
      <c r="F5" s="42" t="s">
        <v>467</v>
      </c>
      <c r="G5" s="42" t="s">
        <v>468</v>
      </c>
      <c r="H5" s="40">
        <v>9</v>
      </c>
      <c r="I5" s="40">
        <v>6</v>
      </c>
      <c r="J5" s="43">
        <v>40774</v>
      </c>
      <c r="K5" s="42" t="s">
        <v>469</v>
      </c>
      <c r="L5" s="42" t="s">
        <v>470</v>
      </c>
      <c r="M5" s="50" t="str">
        <f>HYPERLINK(_xlfn.CONCAT("https://www.ebi.ac.uk/arrayexpress/experiments/",C5), _xlfn.CONCAT(C5, ": ", D5))</f>
        <v>E-MTAB-656: Alternative splicing in human temporal cortex</v>
      </c>
    </row>
    <row r="6" spans="1:16" s="45" customFormat="1" ht="13.5" customHeight="1" thickBot="1" x14ac:dyDescent="0.5">
      <c r="A6" s="86"/>
      <c r="B6" s="75">
        <v>63</v>
      </c>
      <c r="C6" s="92" t="s">
        <v>90</v>
      </c>
      <c r="D6" s="63" t="s">
        <v>166</v>
      </c>
      <c r="E6" s="64" t="s">
        <v>472</v>
      </c>
      <c r="F6" s="65" t="s">
        <v>473</v>
      </c>
      <c r="G6" s="65" t="s">
        <v>468</v>
      </c>
      <c r="H6" s="64">
        <v>5</v>
      </c>
      <c r="I6" s="64">
        <v>7</v>
      </c>
      <c r="J6" s="66">
        <v>40192</v>
      </c>
      <c r="K6" s="65" t="s">
        <v>474</v>
      </c>
      <c r="L6" s="65" t="s">
        <v>470</v>
      </c>
      <c r="M6" s="67" t="str">
        <f>HYPERLINK(_xlfn.CONCAT("https://www.ebi.ac.uk/arrayexpress/experiments/",C6), _xlfn.CONCAT(C6, ": ", D6))</f>
        <v>E-MEXP-2280: Transcription profiling of patients with four neurodegenerative disorders distinguishes tauopathies and identifies shared molecular pathways</v>
      </c>
    </row>
    <row r="7" spans="1:16" s="61" customFormat="1" ht="13.9" thickBot="1" x14ac:dyDescent="0.5">
      <c r="A7" s="86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90"/>
    </row>
    <row r="8" spans="1:16" s="62" customFormat="1" ht="20" customHeight="1" thickBot="1" x14ac:dyDescent="0.5">
      <c r="A8" s="86"/>
      <c r="B8" s="112" t="s">
        <v>512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4"/>
    </row>
    <row r="9" spans="1:16" s="45" customFormat="1" ht="13.5" customHeight="1" x14ac:dyDescent="0.45">
      <c r="A9" s="86"/>
      <c r="B9" s="82">
        <v>28</v>
      </c>
      <c r="C9" s="80" t="s">
        <v>336</v>
      </c>
      <c r="D9" s="41" t="s">
        <v>408</v>
      </c>
      <c r="E9" s="40" t="s">
        <v>475</v>
      </c>
      <c r="F9" s="42" t="s">
        <v>476</v>
      </c>
      <c r="G9" s="42" t="s">
        <v>477</v>
      </c>
      <c r="H9" s="40">
        <v>7</v>
      </c>
      <c r="I9" s="40">
        <v>11</v>
      </c>
      <c r="J9" s="43">
        <v>41092</v>
      </c>
      <c r="K9" s="42" t="s">
        <v>478</v>
      </c>
      <c r="L9" s="42" t="s">
        <v>470</v>
      </c>
      <c r="M9" s="50" t="str">
        <f>HYPERLINK(_xlfn.CONCAT("https://www.ebi.ac.uk/arrayexpress/experiments/",C9), _xlfn.CONCAT(C9, ": ", D9))</f>
        <v>E-MTAB-1194: Transcription profiling by array of human frontal cortex (area 8) from Parkinson disease cases and controls</v>
      </c>
    </row>
    <row r="10" spans="1:16" s="45" customFormat="1" ht="13.5" customHeight="1" thickBot="1" x14ac:dyDescent="0.5">
      <c r="A10" s="86"/>
      <c r="B10" s="75">
        <v>34</v>
      </c>
      <c r="C10" s="92" t="s">
        <v>342</v>
      </c>
      <c r="D10" s="63" t="s">
        <v>414</v>
      </c>
      <c r="E10" s="64" t="s">
        <v>479</v>
      </c>
      <c r="F10" s="65" t="s">
        <v>480</v>
      </c>
      <c r="G10" s="65" t="s">
        <v>481</v>
      </c>
      <c r="H10" s="64">
        <v>26</v>
      </c>
      <c r="I10" s="64">
        <v>27</v>
      </c>
      <c r="J10" s="66">
        <v>41171</v>
      </c>
      <c r="K10" s="65" t="s">
        <v>482</v>
      </c>
      <c r="L10" s="65" t="s">
        <v>470</v>
      </c>
      <c r="M10" s="67" t="str">
        <f>HYPERLINK(_xlfn.CONCAT("https://www.ebi.ac.uk/arrayexpress/experiments/",C10), _xlfn.CONCAT(C10, ": ", D10))</f>
        <v>E-MTAB-812: Transcription profiling of prefrontal cortex Brodmann area 9 samples from Parkinson disease and neurologically healthy control patients</v>
      </c>
    </row>
    <row r="11" spans="1:16" s="61" customFormat="1" ht="13.9" thickBot="1" x14ac:dyDescent="0.5">
      <c r="A11" s="86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90"/>
    </row>
    <row r="12" spans="1:16" s="62" customFormat="1" ht="20" customHeight="1" thickBot="1" x14ac:dyDescent="0.5">
      <c r="A12" s="86"/>
      <c r="B12" s="109" t="s">
        <v>507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1"/>
    </row>
    <row r="13" spans="1:16" s="45" customFormat="1" ht="13.5" customHeight="1" x14ac:dyDescent="0.45">
      <c r="A13" s="86"/>
      <c r="B13" s="82">
        <v>1</v>
      </c>
      <c r="C13" s="80" t="s">
        <v>182</v>
      </c>
      <c r="D13" s="41" t="s">
        <v>249</v>
      </c>
      <c r="E13" s="40" t="s">
        <v>483</v>
      </c>
      <c r="F13" s="42" t="s">
        <v>484</v>
      </c>
      <c r="G13" s="42" t="s">
        <v>485</v>
      </c>
      <c r="H13" s="40">
        <v>10</v>
      </c>
      <c r="I13" s="40">
        <v>30</v>
      </c>
      <c r="J13" s="43">
        <v>39337</v>
      </c>
      <c r="K13" s="42" t="s">
        <v>486</v>
      </c>
      <c r="L13" s="42" t="s">
        <v>470</v>
      </c>
      <c r="M13" s="50" t="str">
        <f>HYPERLINK(_xlfn.CONCAT("https://www.ebi.ac.uk/arrayexpress/experiments/",C13), _xlfn.CONCAT(C13, ": ", D13))</f>
        <v>E-MTAB-8635: Gene expression profiles in spinal cord of control and sporadic Amyotrophic Lateral Sclerosis patients</v>
      </c>
    </row>
    <row r="14" spans="1:16" s="61" customFormat="1" ht="13.5" customHeight="1" x14ac:dyDescent="0.45">
      <c r="A14" s="86"/>
      <c r="B14" s="118">
        <v>3</v>
      </c>
      <c r="C14" s="106" t="s">
        <v>184</v>
      </c>
      <c r="D14" s="108" t="s">
        <v>251</v>
      </c>
      <c r="E14" s="105" t="s">
        <v>487</v>
      </c>
      <c r="F14" s="42" t="s">
        <v>488</v>
      </c>
      <c r="G14" s="42" t="s">
        <v>489</v>
      </c>
      <c r="H14" s="40">
        <v>10</v>
      </c>
      <c r="I14" s="40">
        <v>10</v>
      </c>
      <c r="J14" s="100">
        <v>42831</v>
      </c>
      <c r="K14" s="101" t="s">
        <v>492</v>
      </c>
      <c r="L14" s="101" t="s">
        <v>470</v>
      </c>
      <c r="M14" s="119" t="str">
        <f>HYPERLINK(_xlfn.CONCAT("https://www.ebi.ac.uk/arrayexpress/experiments/",C14), _xlfn.CONCAT(C14, ": ", D14))</f>
        <v>E-MTAB-6189: Differential gene expression study in brain samples from patients suffering distinct frontotemporal lobar degeneration (FTLD) conditions</v>
      </c>
    </row>
    <row r="15" spans="1:16" s="45" customFormat="1" ht="13.5" customHeight="1" x14ac:dyDescent="0.45">
      <c r="A15" s="87"/>
      <c r="B15" s="118"/>
      <c r="C15" s="106"/>
      <c r="D15" s="108"/>
      <c r="E15" s="105"/>
      <c r="F15" s="42" t="s">
        <v>491</v>
      </c>
      <c r="G15" s="42" t="s">
        <v>490</v>
      </c>
      <c r="H15" s="40">
        <v>10</v>
      </c>
      <c r="I15" s="40">
        <v>10</v>
      </c>
      <c r="J15" s="100"/>
      <c r="K15" s="101"/>
      <c r="L15" s="101"/>
      <c r="M15" s="121"/>
    </row>
    <row r="16" spans="1:16" s="45" customFormat="1" ht="13.5" customHeight="1" x14ac:dyDescent="0.45">
      <c r="A16" s="87"/>
      <c r="B16" s="82">
        <v>12</v>
      </c>
      <c r="C16" s="80" t="s">
        <v>43</v>
      </c>
      <c r="D16" s="41" t="s">
        <v>119</v>
      </c>
      <c r="E16" s="40" t="s">
        <v>479</v>
      </c>
      <c r="F16" s="42" t="s">
        <v>493</v>
      </c>
      <c r="G16" s="42" t="s">
        <v>494</v>
      </c>
      <c r="H16" s="40">
        <v>10</v>
      </c>
      <c r="I16" s="40">
        <v>31</v>
      </c>
      <c r="J16" s="43">
        <v>41687</v>
      </c>
      <c r="K16" s="42" t="s">
        <v>482</v>
      </c>
      <c r="L16" s="42" t="s">
        <v>470</v>
      </c>
      <c r="M16" s="50" t="str">
        <f>HYPERLINK(_xlfn.CONCAT("https://www.ebi.ac.uk/arrayexpress/experiments/",C16), _xlfn.CONCAT(C16, ": ", D16))</f>
        <v>E-MTAB-2325: Gene expression profiles in motor cortex of Control and Sporadic Amyotrphic Lateral Sclerosis patients</v>
      </c>
    </row>
    <row r="17" spans="1:13" s="45" customFormat="1" ht="13.5" customHeight="1" x14ac:dyDescent="0.45">
      <c r="A17" s="87"/>
      <c r="B17" s="82">
        <v>31</v>
      </c>
      <c r="C17" s="80" t="s">
        <v>210</v>
      </c>
      <c r="D17" s="41" t="s">
        <v>277</v>
      </c>
      <c r="E17" s="40" t="s">
        <v>495</v>
      </c>
      <c r="F17" s="42" t="s">
        <v>496</v>
      </c>
      <c r="G17" s="42" t="s">
        <v>494</v>
      </c>
      <c r="H17" s="40">
        <v>3</v>
      </c>
      <c r="I17" s="40">
        <v>3</v>
      </c>
      <c r="J17" s="43">
        <v>41576</v>
      </c>
      <c r="K17" s="42" t="s">
        <v>497</v>
      </c>
      <c r="L17" s="42"/>
      <c r="M17" s="50" t="str">
        <f>HYPERLINK(_xlfn.CONCAT("https://www.ebi.ac.uk/arrayexpress/experiments/",C17), _xlfn.CONCAT(C17, ": ", D17))</f>
        <v>E-MTAB-1925: Transcription profiling by array of post-mortem brain cortex from healthy control patients and amyotrophic lateral sclerosis patients that carry an expanded GGGGCC repeat mutation in the chromosome 9 open reading frame 72 (C9ORF72) gene</v>
      </c>
    </row>
    <row r="18" spans="1:13" s="45" customFormat="1" ht="13.5" customHeight="1" x14ac:dyDescent="0.45">
      <c r="A18" s="87"/>
      <c r="B18" s="118">
        <v>52</v>
      </c>
      <c r="C18" s="106" t="s">
        <v>77</v>
      </c>
      <c r="D18" s="108" t="s">
        <v>153</v>
      </c>
      <c r="E18" s="105" t="s">
        <v>466</v>
      </c>
      <c r="F18" s="78" t="s">
        <v>499</v>
      </c>
      <c r="G18" s="78" t="s">
        <v>502</v>
      </c>
      <c r="H18" s="79">
        <v>9</v>
      </c>
      <c r="I18" s="40">
        <v>4</v>
      </c>
      <c r="J18" s="100">
        <v>40774</v>
      </c>
      <c r="K18" s="101" t="s">
        <v>469</v>
      </c>
      <c r="L18" s="101" t="s">
        <v>470</v>
      </c>
      <c r="M18" s="119" t="str">
        <f>HYPERLINK(_xlfn.CONCAT("https://www.ebi.ac.uk/arrayexpress/experiments/",C18), _xlfn.CONCAT(C18, ": ", D18))</f>
        <v>E-MTAB-656: Alternative splicing in human temporal cortex</v>
      </c>
    </row>
    <row r="19" spans="1:13" s="45" customFormat="1" ht="13.5" customHeight="1" x14ac:dyDescent="0.45">
      <c r="A19" s="87"/>
      <c r="B19" s="118"/>
      <c r="C19" s="106"/>
      <c r="D19" s="108"/>
      <c r="E19" s="105"/>
      <c r="F19" s="78" t="s">
        <v>500</v>
      </c>
      <c r="G19" s="78" t="s">
        <v>503</v>
      </c>
      <c r="H19" s="79">
        <v>9</v>
      </c>
      <c r="I19" s="40">
        <v>3</v>
      </c>
      <c r="J19" s="100"/>
      <c r="K19" s="101"/>
      <c r="L19" s="101"/>
      <c r="M19" s="120"/>
    </row>
    <row r="20" spans="1:13" s="45" customFormat="1" ht="13.5" customHeight="1" x14ac:dyDescent="0.45">
      <c r="A20" s="87"/>
      <c r="B20" s="118"/>
      <c r="C20" s="106"/>
      <c r="D20" s="108"/>
      <c r="E20" s="105"/>
      <c r="F20" s="78" t="s">
        <v>501</v>
      </c>
      <c r="G20" s="78" t="s">
        <v>504</v>
      </c>
      <c r="H20" s="79">
        <v>9</v>
      </c>
      <c r="I20" s="40">
        <v>3</v>
      </c>
      <c r="J20" s="100"/>
      <c r="K20" s="101"/>
      <c r="L20" s="101"/>
      <c r="M20" s="121"/>
    </row>
    <row r="21" spans="1:13" s="45" customFormat="1" ht="13.5" customHeight="1" thickBot="1" x14ac:dyDescent="0.5">
      <c r="A21" s="87"/>
      <c r="B21" s="75">
        <v>62</v>
      </c>
      <c r="C21" s="92" t="s">
        <v>90</v>
      </c>
      <c r="D21" s="63" t="s">
        <v>166</v>
      </c>
      <c r="E21" s="64" t="s">
        <v>472</v>
      </c>
      <c r="F21" s="65" t="s">
        <v>473</v>
      </c>
      <c r="G21" s="65" t="s">
        <v>468</v>
      </c>
      <c r="H21" s="64">
        <v>5</v>
      </c>
      <c r="I21" s="64">
        <v>12</v>
      </c>
      <c r="J21" s="66">
        <v>40192</v>
      </c>
      <c r="K21" s="65" t="s">
        <v>474</v>
      </c>
      <c r="L21" s="65" t="s">
        <v>470</v>
      </c>
      <c r="M21" s="67" t="str">
        <f>HYPERLINK(_xlfn.CONCAT("https://www.ebi.ac.uk/arrayexpress/experiments/",C21), _xlfn.CONCAT(C21, ": ", D21))</f>
        <v>E-MEXP-2280: Transcription profiling of patients with four neurodegenerative disorders distinguishes tauopathies and identifies shared molecular pathways</v>
      </c>
    </row>
    <row r="22" spans="1:13" x14ac:dyDescent="0.45">
      <c r="A22" s="87"/>
    </row>
    <row r="23" spans="1:13" x14ac:dyDescent="0.45">
      <c r="A23" s="87"/>
    </row>
    <row r="24" spans="1:13" x14ac:dyDescent="0.45">
      <c r="A24" s="87"/>
    </row>
    <row r="25" spans="1:13" x14ac:dyDescent="0.45">
      <c r="A25" s="87"/>
    </row>
    <row r="26" spans="1:13" x14ac:dyDescent="0.45">
      <c r="A26" s="87"/>
    </row>
    <row r="27" spans="1:13" x14ac:dyDescent="0.45">
      <c r="A27" s="87"/>
    </row>
    <row r="28" spans="1:13" x14ac:dyDescent="0.45">
      <c r="A28" s="87"/>
    </row>
    <row r="29" spans="1:13" x14ac:dyDescent="0.45">
      <c r="A29" s="87"/>
    </row>
    <row r="30" spans="1:13" x14ac:dyDescent="0.45">
      <c r="A30" s="87"/>
    </row>
    <row r="31" spans="1:13" x14ac:dyDescent="0.45">
      <c r="A31" s="87"/>
    </row>
    <row r="32" spans="1:13" x14ac:dyDescent="0.45">
      <c r="A32" s="87"/>
    </row>
    <row r="33" spans="1:1" x14ac:dyDescent="0.45">
      <c r="A33" s="87"/>
    </row>
    <row r="34" spans="1:1" x14ac:dyDescent="0.45">
      <c r="A34" s="87"/>
    </row>
    <row r="35" spans="1:1" x14ac:dyDescent="0.45">
      <c r="A35" s="87"/>
    </row>
    <row r="36" spans="1:1" x14ac:dyDescent="0.45">
      <c r="A36" s="87"/>
    </row>
    <row r="37" spans="1:1" x14ac:dyDescent="0.45">
      <c r="A37" s="87"/>
    </row>
    <row r="38" spans="1:1" x14ac:dyDescent="0.45">
      <c r="A38" s="87"/>
    </row>
    <row r="39" spans="1:1" x14ac:dyDescent="0.45">
      <c r="A39" s="87"/>
    </row>
    <row r="40" spans="1:1" x14ac:dyDescent="0.45">
      <c r="A40" s="87"/>
    </row>
    <row r="41" spans="1:1" x14ac:dyDescent="0.45">
      <c r="A41" s="87"/>
    </row>
    <row r="42" spans="1:1" x14ac:dyDescent="0.45">
      <c r="A42" s="87"/>
    </row>
    <row r="43" spans="1:1" x14ac:dyDescent="0.45">
      <c r="A43" s="87"/>
    </row>
    <row r="44" spans="1:1" x14ac:dyDescent="0.45">
      <c r="A44" s="87"/>
    </row>
    <row r="45" spans="1:1" x14ac:dyDescent="0.45">
      <c r="A45" s="87"/>
    </row>
    <row r="48" spans="1:1" x14ac:dyDescent="0.45">
      <c r="A48" s="84"/>
    </row>
    <row r="49" spans="1:1" ht="17.25" x14ac:dyDescent="0.45">
      <c r="A49" s="85"/>
    </row>
    <row r="76" spans="1:1" x14ac:dyDescent="0.45">
      <c r="A76" s="84"/>
    </row>
    <row r="77" spans="1:1" ht="17.25" x14ac:dyDescent="0.45">
      <c r="A77" s="85"/>
    </row>
  </sheetData>
  <mergeCells count="19">
    <mergeCell ref="K14:K15"/>
    <mergeCell ref="L14:L15"/>
    <mergeCell ref="M14:M15"/>
    <mergeCell ref="J18:J20"/>
    <mergeCell ref="B12:M12"/>
    <mergeCell ref="B8:M8"/>
    <mergeCell ref="B4:M4"/>
    <mergeCell ref="B18:B20"/>
    <mergeCell ref="C18:C20"/>
    <mergeCell ref="D18:D20"/>
    <mergeCell ref="E18:E20"/>
    <mergeCell ref="B14:B15"/>
    <mergeCell ref="C14:C15"/>
    <mergeCell ref="D14:D15"/>
    <mergeCell ref="E14:E15"/>
    <mergeCell ref="K18:K20"/>
    <mergeCell ref="L18:L20"/>
    <mergeCell ref="M18:M20"/>
    <mergeCell ref="J14:J15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Systematic Search Criteria</vt:lpstr>
      <vt:lpstr>AD Datasets</vt:lpstr>
      <vt:lpstr>LBD Datasets</vt:lpstr>
      <vt:lpstr>ALS-FTD Datasets</vt:lpstr>
      <vt:lpstr>Total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Noori</dc:creator>
  <cp:lastModifiedBy>Ayush Noori</cp:lastModifiedBy>
  <dcterms:created xsi:type="dcterms:W3CDTF">2015-06-05T18:17:20Z</dcterms:created>
  <dcterms:modified xsi:type="dcterms:W3CDTF">2020-12-20T09:23:33Z</dcterms:modified>
</cp:coreProperties>
</file>