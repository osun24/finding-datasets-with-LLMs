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wensun/Downloads/code/geo-llm/"/>
    </mc:Choice>
  </mc:AlternateContent>
  <xr:revisionPtr revIDLastSave="0" documentId="13_ncr:1_{05DA1E60-8EB9-F14F-AFF9-BC5F2D5563D1}" xr6:coauthVersionLast="47" xr6:coauthVersionMax="47" xr10:uidLastSave="{00000000-0000-0000-0000-000000000000}"/>
  <bookViews>
    <workbookView xWindow="14600" yWindow="0" windowWidth="14200" windowHeight="18000" xr2:uid="{06945EB4-B2D1-9647-9271-C8D121044958}"/>
  </bookViews>
  <sheets>
    <sheet name="token_costs" sheetId="1" r:id="rId1"/>
  </sheets>
  <definedNames>
    <definedName name="_xlchart.v1.0" hidden="1">token_costs!$F$1</definedName>
    <definedName name="_xlchart.v1.1" hidden="1">token_costs!$F$2:$F$31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1" l="1"/>
  <c r="E37" i="1"/>
  <c r="D37" i="1"/>
  <c r="D38" i="1"/>
  <c r="E34" i="1"/>
  <c r="D34" i="1"/>
  <c r="E33" i="1"/>
  <c r="D3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H3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</calcChain>
</file>

<file path=xl/sharedStrings.xml><?xml version="1.0" encoding="utf-8"?>
<sst xmlns="http://schemas.openxmlformats.org/spreadsheetml/2006/main" count="99" uniqueCount="30">
  <si>
    <t>GPT-4.1-mini</t>
  </si>
  <si>
    <t>v1</t>
  </si>
  <si>
    <t>v2</t>
  </si>
  <si>
    <t>v3</t>
  </si>
  <si>
    <t>GPT-4o-mini</t>
  </si>
  <si>
    <t>GPT-5-mini</t>
  </si>
  <si>
    <t>seed42</t>
  </si>
  <si>
    <t>seed43</t>
  </si>
  <si>
    <t>seed44</t>
  </si>
  <si>
    <t>seed45</t>
  </si>
  <si>
    <t>seed46</t>
  </si>
  <si>
    <t>seed47</t>
  </si>
  <si>
    <t>seed48</t>
  </si>
  <si>
    <t>seed49</t>
  </si>
  <si>
    <t>seed50</t>
  </si>
  <si>
    <t>seed51</t>
  </si>
  <si>
    <t>o4-mini</t>
  </si>
  <si>
    <t>Total Cost</t>
  </si>
  <si>
    <t>Version</t>
  </si>
  <si>
    <t>LLM</t>
  </si>
  <si>
    <t>Seed</t>
  </si>
  <si>
    <t>Input Tokens</t>
  </si>
  <si>
    <t>Output Tokens</t>
  </si>
  <si>
    <t>Input Cost</t>
  </si>
  <si>
    <t>Output Cost</t>
  </si>
  <si>
    <t>Input Tokens per Dataset</t>
  </si>
  <si>
    <t>Output Tokens per Dataset</t>
  </si>
  <si>
    <t>MAX</t>
  </si>
  <si>
    <t>MIN</t>
  </si>
  <si>
    <t>Per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</si>
</sst>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4" fontId="0" fillId="0" borderId="0" xfId="0" applyNumberFormat="1"/>
    <xf numFmtId="0" fontId="0" fillId="0" borderId="10" xfId="0" applyBorder="1" applyAlignment="1">
      <alignment horizontal="center"/>
    </xf>
    <xf numFmtId="164" fontId="0" fillId="0" borderId="10" xfId="1" applyNumberFormat="1" applyFont="1" applyBorder="1" applyAlignment="1">
      <alignment horizontal="center"/>
    </xf>
    <xf numFmtId="44" fontId="0" fillId="0" borderId="10" xfId="2" applyFont="1" applyBorder="1" applyAlignment="1">
      <alignment horizontal="center"/>
    </xf>
    <xf numFmtId="44" fontId="0" fillId="0" borderId="10" xfId="0" applyNumberFormat="1" applyBorder="1" applyAlignment="1">
      <alignment horizontal="center"/>
    </xf>
    <xf numFmtId="164" fontId="0" fillId="0" borderId="0" xfId="0" applyNumberFormat="1"/>
    <xf numFmtId="43" fontId="0" fillId="0" borderId="0" xfId="0" applyNumberFormat="1"/>
    <xf numFmtId="0" fontId="0" fillId="0" borderId="11" xfId="0" applyFill="1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68E9F653-4DDD-6547-B8D0-786678F149EA}">
          <cx:tx>
            <cx:txData>
              <cx:f>_xlchart.v1.0</cx:f>
              <cx:v>Input Cost</cx:v>
            </cx:txData>
          </cx:tx>
          <cx:dataId val="0"/>
          <cx:layoutPr>
            <cx:binning intervalClosed="r">
              <cx:binSize val="0.0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82227</xdr:colOff>
      <xdr:row>5</xdr:row>
      <xdr:rowOff>46280</xdr:rowOff>
    </xdr:from>
    <xdr:to>
      <xdr:col>37</xdr:col>
      <xdr:colOff>472483</xdr:colOff>
      <xdr:row>18</xdr:row>
      <xdr:rowOff>129798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D78DF46-B3A5-7385-54A2-4E476F2B8D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891927" y="1062280"/>
              <a:ext cx="5343256" cy="27251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BA217-0EF1-C44F-B228-20E0B34CD6D4}">
  <dimension ref="A1:J38"/>
  <sheetViews>
    <sheetView tabSelected="1" topLeftCell="A9" zoomScale="150" workbookViewId="0">
      <selection activeCell="E39" sqref="E39"/>
    </sheetView>
  </sheetViews>
  <sheetFormatPr baseColWidth="10" defaultRowHeight="16" x14ac:dyDescent="0.2"/>
  <cols>
    <col min="1" max="1" width="11.6640625" bestFit="1" customWidth="1"/>
    <col min="4" max="4" width="14" bestFit="1" customWidth="1"/>
    <col min="5" max="5" width="12.5" bestFit="1" customWidth="1"/>
    <col min="9" max="9" width="21.1640625" bestFit="1" customWidth="1"/>
    <col min="10" max="10" width="22.83203125" bestFit="1" customWidth="1"/>
  </cols>
  <sheetData>
    <row r="1" spans="1:10" x14ac:dyDescent="0.2">
      <c r="A1" s="2" t="s">
        <v>19</v>
      </c>
      <c r="B1" s="2" t="s">
        <v>18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17</v>
      </c>
      <c r="I1" s="8" t="s">
        <v>25</v>
      </c>
      <c r="J1" s="8" t="s">
        <v>26</v>
      </c>
    </row>
    <row r="2" spans="1:10" x14ac:dyDescent="0.2">
      <c r="A2" s="2" t="s">
        <v>0</v>
      </c>
      <c r="B2" s="2" t="s">
        <v>1</v>
      </c>
      <c r="C2" s="2"/>
      <c r="D2" s="3">
        <v>1557106</v>
      </c>
      <c r="E2" s="3">
        <v>208241</v>
      </c>
      <c r="F2" s="4">
        <v>0.31140000000000001</v>
      </c>
      <c r="G2" s="4">
        <v>0.1666</v>
      </c>
      <c r="H2" s="5">
        <f>F2+G2</f>
        <v>0.47799999999999998</v>
      </c>
      <c r="I2" s="6">
        <f>D2/536</f>
        <v>2905.0485074626868</v>
      </c>
      <c r="J2" s="6">
        <f>E2/536</f>
        <v>388.50932835820896</v>
      </c>
    </row>
    <row r="3" spans="1:10" x14ac:dyDescent="0.2">
      <c r="A3" s="2" t="s">
        <v>0</v>
      </c>
      <c r="B3" s="2" t="s">
        <v>2</v>
      </c>
      <c r="C3" s="2"/>
      <c r="D3" s="3">
        <v>1575330</v>
      </c>
      <c r="E3" s="3">
        <v>72757</v>
      </c>
      <c r="F3" s="4">
        <v>0.31509999999999999</v>
      </c>
      <c r="G3" s="4">
        <v>5.8200000000000002E-2</v>
      </c>
      <c r="H3" s="5">
        <f t="shared" ref="H3:H31" si="0">F3+G3</f>
        <v>0.37329999999999997</v>
      </c>
      <c r="I3" s="6">
        <f t="shared" ref="I3:I31" si="1">D3/536</f>
        <v>2939.0485074626868</v>
      </c>
      <c r="J3" s="6">
        <f t="shared" ref="J3:J31" si="2">E3/536</f>
        <v>135.74067164179104</v>
      </c>
    </row>
    <row r="4" spans="1:10" x14ac:dyDescent="0.2">
      <c r="A4" s="2" t="s">
        <v>0</v>
      </c>
      <c r="B4" s="2" t="s">
        <v>3</v>
      </c>
      <c r="C4" s="2"/>
      <c r="D4" s="3">
        <v>1585514</v>
      </c>
      <c r="E4" s="3">
        <v>74097</v>
      </c>
      <c r="F4" s="4">
        <v>0.31709999999999999</v>
      </c>
      <c r="G4" s="4">
        <v>5.9299999999999999E-2</v>
      </c>
      <c r="H4" s="5">
        <f t="shared" si="0"/>
        <v>0.37640000000000001</v>
      </c>
      <c r="I4" s="6">
        <f t="shared" si="1"/>
        <v>2958.0485074626868</v>
      </c>
      <c r="J4" s="6">
        <f t="shared" si="2"/>
        <v>138.24067164179104</v>
      </c>
    </row>
    <row r="5" spans="1:10" x14ac:dyDescent="0.2">
      <c r="A5" s="2" t="s">
        <v>4</v>
      </c>
      <c r="B5" s="2" t="s">
        <v>1</v>
      </c>
      <c r="C5" s="2"/>
      <c r="D5" s="3">
        <v>1557106</v>
      </c>
      <c r="E5" s="3">
        <v>110253</v>
      </c>
      <c r="F5" s="4">
        <v>0.1168</v>
      </c>
      <c r="G5" s="4">
        <v>3.3099999999999997E-2</v>
      </c>
      <c r="H5" s="5">
        <f t="shared" si="0"/>
        <v>0.14990000000000001</v>
      </c>
      <c r="I5" s="6">
        <f t="shared" si="1"/>
        <v>2905.0485074626868</v>
      </c>
      <c r="J5" s="6">
        <f t="shared" si="2"/>
        <v>205.69589552238807</v>
      </c>
    </row>
    <row r="6" spans="1:10" x14ac:dyDescent="0.2">
      <c r="A6" s="2" t="s">
        <v>4</v>
      </c>
      <c r="B6" s="2" t="s">
        <v>2</v>
      </c>
      <c r="C6" s="2"/>
      <c r="D6" s="3">
        <v>1575330</v>
      </c>
      <c r="E6" s="3">
        <v>63537</v>
      </c>
      <c r="F6" s="4">
        <v>0.1181</v>
      </c>
      <c r="G6" s="4">
        <v>1.9099999999999999E-2</v>
      </c>
      <c r="H6" s="5">
        <f t="shared" si="0"/>
        <v>0.13719999999999999</v>
      </c>
      <c r="I6" s="6">
        <f t="shared" si="1"/>
        <v>2939.0485074626868</v>
      </c>
      <c r="J6" s="6">
        <f t="shared" si="2"/>
        <v>118.53917910447761</v>
      </c>
    </row>
    <row r="7" spans="1:10" x14ac:dyDescent="0.2">
      <c r="A7" s="2" t="s">
        <v>4</v>
      </c>
      <c r="B7" s="2" t="s">
        <v>3</v>
      </c>
      <c r="C7" s="2"/>
      <c r="D7" s="3">
        <v>1585514</v>
      </c>
      <c r="E7" s="3">
        <v>63279</v>
      </c>
      <c r="F7" s="4">
        <v>0.11890000000000001</v>
      </c>
      <c r="G7" s="4">
        <v>1.9E-2</v>
      </c>
      <c r="H7" s="5">
        <f t="shared" si="0"/>
        <v>0.13789999999999999</v>
      </c>
      <c r="I7" s="6">
        <f t="shared" si="1"/>
        <v>2958.0485074626868</v>
      </c>
      <c r="J7" s="6">
        <f t="shared" si="2"/>
        <v>118.05783582089552</v>
      </c>
    </row>
    <row r="8" spans="1:10" x14ac:dyDescent="0.2">
      <c r="A8" s="2" t="s">
        <v>5</v>
      </c>
      <c r="B8" s="2" t="s">
        <v>1</v>
      </c>
      <c r="C8" s="2" t="s">
        <v>6</v>
      </c>
      <c r="D8" s="3">
        <v>1556570</v>
      </c>
      <c r="E8" s="3">
        <v>99364</v>
      </c>
      <c r="F8" s="4">
        <v>0.1946</v>
      </c>
      <c r="G8" s="4">
        <v>9.9400000000000002E-2</v>
      </c>
      <c r="H8" s="5">
        <f t="shared" si="0"/>
        <v>0.29399999999999998</v>
      </c>
      <c r="I8" s="6">
        <f t="shared" si="1"/>
        <v>2904.0485074626868</v>
      </c>
      <c r="J8" s="6">
        <f t="shared" si="2"/>
        <v>185.38059701492537</v>
      </c>
    </row>
    <row r="9" spans="1:10" x14ac:dyDescent="0.2">
      <c r="A9" s="2" t="s">
        <v>5</v>
      </c>
      <c r="B9" s="2" t="s">
        <v>2</v>
      </c>
      <c r="C9" s="2" t="s">
        <v>6</v>
      </c>
      <c r="D9" s="3">
        <v>1574794</v>
      </c>
      <c r="E9" s="3">
        <v>85331</v>
      </c>
      <c r="F9" s="4">
        <v>0.1968</v>
      </c>
      <c r="G9" s="4">
        <v>8.5300000000000001E-2</v>
      </c>
      <c r="H9" s="5">
        <f t="shared" si="0"/>
        <v>0.28210000000000002</v>
      </c>
      <c r="I9" s="6">
        <f t="shared" si="1"/>
        <v>2938.0485074626868</v>
      </c>
      <c r="J9" s="6">
        <f t="shared" si="2"/>
        <v>159.19962686567163</v>
      </c>
    </row>
    <row r="10" spans="1:10" x14ac:dyDescent="0.2">
      <c r="A10" s="2" t="s">
        <v>5</v>
      </c>
      <c r="B10" s="2" t="s">
        <v>3</v>
      </c>
      <c r="C10" s="2" t="s">
        <v>6</v>
      </c>
      <c r="D10" s="3">
        <v>1584978</v>
      </c>
      <c r="E10" s="3">
        <v>86328</v>
      </c>
      <c r="F10" s="4">
        <v>0.1981</v>
      </c>
      <c r="G10" s="4">
        <v>8.6300000000000002E-2</v>
      </c>
      <c r="H10" s="5">
        <f t="shared" si="0"/>
        <v>0.28439999999999999</v>
      </c>
      <c r="I10" s="6">
        <f t="shared" si="1"/>
        <v>2957.0485074626868</v>
      </c>
      <c r="J10" s="6">
        <f t="shared" si="2"/>
        <v>161.0597014925373</v>
      </c>
    </row>
    <row r="11" spans="1:10" x14ac:dyDescent="0.2">
      <c r="A11" s="2" t="s">
        <v>5</v>
      </c>
      <c r="B11" s="2" t="s">
        <v>3</v>
      </c>
      <c r="C11" s="2" t="s">
        <v>7</v>
      </c>
      <c r="D11" s="3">
        <v>1584978</v>
      </c>
      <c r="E11" s="3">
        <v>86008</v>
      </c>
      <c r="F11" s="4">
        <v>0.1981</v>
      </c>
      <c r="G11" s="4">
        <v>8.5999999999999993E-2</v>
      </c>
      <c r="H11" s="5">
        <f t="shared" si="0"/>
        <v>0.28410000000000002</v>
      </c>
      <c r="I11" s="6">
        <f t="shared" si="1"/>
        <v>2957.0485074626868</v>
      </c>
      <c r="J11" s="6">
        <f t="shared" si="2"/>
        <v>160.46268656716418</v>
      </c>
    </row>
    <row r="12" spans="1:10" x14ac:dyDescent="0.2">
      <c r="A12" s="2" t="s">
        <v>5</v>
      </c>
      <c r="B12" s="2" t="s">
        <v>3</v>
      </c>
      <c r="C12" s="2" t="s">
        <v>8</v>
      </c>
      <c r="D12" s="3">
        <v>1584978</v>
      </c>
      <c r="E12" s="3">
        <v>85035</v>
      </c>
      <c r="F12" s="4">
        <v>0.1981</v>
      </c>
      <c r="G12" s="4">
        <v>8.5000000000000006E-2</v>
      </c>
      <c r="H12" s="5">
        <f t="shared" si="0"/>
        <v>0.28310000000000002</v>
      </c>
      <c r="I12" s="6">
        <f t="shared" si="1"/>
        <v>2957.0485074626868</v>
      </c>
      <c r="J12" s="6">
        <f t="shared" si="2"/>
        <v>158.64738805970148</v>
      </c>
    </row>
    <row r="13" spans="1:10" x14ac:dyDescent="0.2">
      <c r="A13" s="2" t="s">
        <v>5</v>
      </c>
      <c r="B13" s="2" t="s">
        <v>3</v>
      </c>
      <c r="C13" s="2" t="s">
        <v>9</v>
      </c>
      <c r="D13" s="3">
        <v>1584978</v>
      </c>
      <c r="E13" s="3">
        <v>85962</v>
      </c>
      <c r="F13" s="4">
        <v>0.1981</v>
      </c>
      <c r="G13" s="4">
        <v>8.5999999999999993E-2</v>
      </c>
      <c r="H13" s="5">
        <f t="shared" si="0"/>
        <v>0.28410000000000002</v>
      </c>
      <c r="I13" s="6">
        <f t="shared" si="1"/>
        <v>2957.0485074626868</v>
      </c>
      <c r="J13" s="6">
        <f t="shared" si="2"/>
        <v>160.37686567164178</v>
      </c>
    </row>
    <row r="14" spans="1:10" x14ac:dyDescent="0.2">
      <c r="A14" s="2" t="s">
        <v>5</v>
      </c>
      <c r="B14" s="2" t="s">
        <v>3</v>
      </c>
      <c r="C14" s="2" t="s">
        <v>10</v>
      </c>
      <c r="D14" s="3">
        <v>1584978</v>
      </c>
      <c r="E14" s="3">
        <v>85470</v>
      </c>
      <c r="F14" s="4">
        <v>0.1981</v>
      </c>
      <c r="G14" s="4">
        <v>8.5500000000000007E-2</v>
      </c>
      <c r="H14" s="5">
        <f t="shared" si="0"/>
        <v>0.28360000000000002</v>
      </c>
      <c r="I14" s="6">
        <f t="shared" si="1"/>
        <v>2957.0485074626868</v>
      </c>
      <c r="J14" s="6">
        <f t="shared" si="2"/>
        <v>159.45895522388059</v>
      </c>
    </row>
    <row r="15" spans="1:10" x14ac:dyDescent="0.2">
      <c r="A15" s="2" t="s">
        <v>5</v>
      </c>
      <c r="B15" s="2" t="s">
        <v>3</v>
      </c>
      <c r="C15" s="2" t="s">
        <v>11</v>
      </c>
      <c r="D15" s="3">
        <v>1584978</v>
      </c>
      <c r="E15" s="3">
        <v>85902</v>
      </c>
      <c r="F15" s="4">
        <v>0.1981</v>
      </c>
      <c r="G15" s="4">
        <v>8.5900000000000004E-2</v>
      </c>
      <c r="H15" s="5">
        <f t="shared" si="0"/>
        <v>0.28400000000000003</v>
      </c>
      <c r="I15" s="6">
        <f t="shared" si="1"/>
        <v>2957.0485074626868</v>
      </c>
      <c r="J15" s="6">
        <f t="shared" si="2"/>
        <v>160.26492537313433</v>
      </c>
    </row>
    <row r="16" spans="1:10" x14ac:dyDescent="0.2">
      <c r="A16" s="2" t="s">
        <v>5</v>
      </c>
      <c r="B16" s="2" t="s">
        <v>3</v>
      </c>
      <c r="C16" s="2" t="s">
        <v>12</v>
      </c>
      <c r="D16" s="3">
        <v>1584978</v>
      </c>
      <c r="E16" s="3">
        <v>85121</v>
      </c>
      <c r="F16" s="4">
        <v>0.1981</v>
      </c>
      <c r="G16" s="4">
        <v>8.5099999999999995E-2</v>
      </c>
      <c r="H16" s="5">
        <f t="shared" si="0"/>
        <v>0.28320000000000001</v>
      </c>
      <c r="I16" s="6">
        <f t="shared" si="1"/>
        <v>2957.0485074626868</v>
      </c>
      <c r="J16" s="6">
        <f t="shared" si="2"/>
        <v>158.80783582089552</v>
      </c>
    </row>
    <row r="17" spans="1:10" x14ac:dyDescent="0.2">
      <c r="A17" s="2" t="s">
        <v>5</v>
      </c>
      <c r="B17" s="2" t="s">
        <v>3</v>
      </c>
      <c r="C17" s="2" t="s">
        <v>13</v>
      </c>
      <c r="D17" s="3">
        <v>1584978</v>
      </c>
      <c r="E17" s="3">
        <v>86782</v>
      </c>
      <c r="F17" s="4">
        <v>0.1981</v>
      </c>
      <c r="G17" s="4">
        <v>8.6800000000000002E-2</v>
      </c>
      <c r="H17" s="5">
        <f t="shared" si="0"/>
        <v>0.28489999999999999</v>
      </c>
      <c r="I17" s="6">
        <f t="shared" si="1"/>
        <v>2957.0485074626868</v>
      </c>
      <c r="J17" s="6">
        <f t="shared" si="2"/>
        <v>161.90671641791045</v>
      </c>
    </row>
    <row r="18" spans="1:10" x14ac:dyDescent="0.2">
      <c r="A18" s="2" t="s">
        <v>5</v>
      </c>
      <c r="B18" s="2" t="s">
        <v>3</v>
      </c>
      <c r="C18" s="2" t="s">
        <v>14</v>
      </c>
      <c r="D18" s="3">
        <v>1584978</v>
      </c>
      <c r="E18" s="3">
        <v>86130</v>
      </c>
      <c r="F18" s="4">
        <v>0.1981</v>
      </c>
      <c r="G18" s="4">
        <v>8.6099999999999996E-2</v>
      </c>
      <c r="H18" s="5">
        <f t="shared" si="0"/>
        <v>0.28420000000000001</v>
      </c>
      <c r="I18" s="6">
        <f t="shared" si="1"/>
        <v>2957.0485074626868</v>
      </c>
      <c r="J18" s="6">
        <f t="shared" si="2"/>
        <v>160.6902985074627</v>
      </c>
    </row>
    <row r="19" spans="1:10" x14ac:dyDescent="0.2">
      <c r="A19" s="2" t="s">
        <v>5</v>
      </c>
      <c r="B19" s="2" t="s">
        <v>3</v>
      </c>
      <c r="C19" s="2" t="s">
        <v>15</v>
      </c>
      <c r="D19" s="3">
        <v>1584978</v>
      </c>
      <c r="E19" s="3">
        <v>86480</v>
      </c>
      <c r="F19" s="4">
        <v>0.1981</v>
      </c>
      <c r="G19" s="4">
        <v>8.6499999999999994E-2</v>
      </c>
      <c r="H19" s="5">
        <f t="shared" si="0"/>
        <v>0.28459999999999996</v>
      </c>
      <c r="I19" s="6">
        <f t="shared" si="1"/>
        <v>2957.0485074626868</v>
      </c>
      <c r="J19" s="6">
        <f t="shared" si="2"/>
        <v>161.34328358208955</v>
      </c>
    </row>
    <row r="20" spans="1:10" x14ac:dyDescent="0.2">
      <c r="A20" s="2" t="s">
        <v>16</v>
      </c>
      <c r="B20" s="2" t="s">
        <v>1</v>
      </c>
      <c r="C20" s="2" t="s">
        <v>6</v>
      </c>
      <c r="D20" s="3">
        <v>1556570</v>
      </c>
      <c r="E20" s="3">
        <v>68329</v>
      </c>
      <c r="F20" s="4">
        <v>0.85609999999999997</v>
      </c>
      <c r="G20" s="4">
        <v>0.15029999999999999</v>
      </c>
      <c r="H20" s="5">
        <f t="shared" si="0"/>
        <v>1.0064</v>
      </c>
      <c r="I20" s="6">
        <f t="shared" si="1"/>
        <v>2904.0485074626868</v>
      </c>
      <c r="J20" s="6">
        <f t="shared" si="2"/>
        <v>127.4794776119403</v>
      </c>
    </row>
    <row r="21" spans="1:10" x14ac:dyDescent="0.2">
      <c r="A21" s="2" t="s">
        <v>16</v>
      </c>
      <c r="B21" s="2" t="s">
        <v>2</v>
      </c>
      <c r="C21" s="2" t="s">
        <v>6</v>
      </c>
      <c r="D21" s="3">
        <v>1574794</v>
      </c>
      <c r="E21" s="3">
        <v>58632</v>
      </c>
      <c r="F21" s="4">
        <v>0.86609999999999998</v>
      </c>
      <c r="G21" s="4">
        <v>0.129</v>
      </c>
      <c r="H21" s="5">
        <f t="shared" si="0"/>
        <v>0.99509999999999998</v>
      </c>
      <c r="I21" s="6">
        <f t="shared" si="1"/>
        <v>2938.0485074626868</v>
      </c>
      <c r="J21" s="6">
        <f t="shared" si="2"/>
        <v>109.38805970149254</v>
      </c>
    </row>
    <row r="22" spans="1:10" x14ac:dyDescent="0.2">
      <c r="A22" s="2" t="s">
        <v>16</v>
      </c>
      <c r="B22" s="2" t="s">
        <v>3</v>
      </c>
      <c r="C22" s="2" t="s">
        <v>6</v>
      </c>
      <c r="D22" s="3">
        <v>1584978</v>
      </c>
      <c r="E22" s="3">
        <v>58135</v>
      </c>
      <c r="F22" s="4">
        <v>0.87170000000000003</v>
      </c>
      <c r="G22" s="4">
        <v>0.12790000000000001</v>
      </c>
      <c r="H22" s="5">
        <f t="shared" si="0"/>
        <v>0.99960000000000004</v>
      </c>
      <c r="I22" s="6">
        <f t="shared" si="1"/>
        <v>2957.0485074626868</v>
      </c>
      <c r="J22" s="6">
        <f t="shared" si="2"/>
        <v>108.46082089552239</v>
      </c>
    </row>
    <row r="23" spans="1:10" x14ac:dyDescent="0.2">
      <c r="A23" s="2" t="s">
        <v>16</v>
      </c>
      <c r="B23" s="2" t="s">
        <v>3</v>
      </c>
      <c r="C23" s="2" t="s">
        <v>7</v>
      </c>
      <c r="D23" s="3">
        <v>1584978</v>
      </c>
      <c r="E23" s="3">
        <v>58056</v>
      </c>
      <c r="F23" s="4">
        <v>0.87170000000000003</v>
      </c>
      <c r="G23" s="4">
        <v>0.12770000000000001</v>
      </c>
      <c r="H23" s="5">
        <f t="shared" si="0"/>
        <v>0.99940000000000007</v>
      </c>
      <c r="I23" s="6">
        <f t="shared" si="1"/>
        <v>2957.0485074626868</v>
      </c>
      <c r="J23" s="6">
        <f t="shared" si="2"/>
        <v>108.31343283582089</v>
      </c>
    </row>
    <row r="24" spans="1:10" x14ac:dyDescent="0.2">
      <c r="A24" s="2" t="s">
        <v>16</v>
      </c>
      <c r="B24" s="2" t="s">
        <v>3</v>
      </c>
      <c r="C24" s="2" t="s">
        <v>8</v>
      </c>
      <c r="D24" s="3">
        <v>1584978</v>
      </c>
      <c r="E24" s="3">
        <v>57476</v>
      </c>
      <c r="F24" s="4">
        <v>0.87170000000000003</v>
      </c>
      <c r="G24" s="4">
        <v>0.12640000000000001</v>
      </c>
      <c r="H24" s="5">
        <f t="shared" si="0"/>
        <v>0.99809999999999999</v>
      </c>
      <c r="I24" s="6">
        <f t="shared" si="1"/>
        <v>2957.0485074626868</v>
      </c>
      <c r="J24" s="6">
        <f t="shared" si="2"/>
        <v>107.23134328358209</v>
      </c>
    </row>
    <row r="25" spans="1:10" x14ac:dyDescent="0.2">
      <c r="A25" s="2" t="s">
        <v>16</v>
      </c>
      <c r="B25" s="2" t="s">
        <v>3</v>
      </c>
      <c r="C25" s="2" t="s">
        <v>9</v>
      </c>
      <c r="D25" s="3">
        <v>1584978</v>
      </c>
      <c r="E25" s="3">
        <v>58171</v>
      </c>
      <c r="F25" s="4">
        <v>0.87170000000000003</v>
      </c>
      <c r="G25" s="4">
        <v>0.128</v>
      </c>
      <c r="H25" s="5">
        <f t="shared" si="0"/>
        <v>0.99970000000000003</v>
      </c>
      <c r="I25" s="6">
        <f t="shared" si="1"/>
        <v>2957.0485074626868</v>
      </c>
      <c r="J25" s="6">
        <f t="shared" si="2"/>
        <v>108.52798507462687</v>
      </c>
    </row>
    <row r="26" spans="1:10" x14ac:dyDescent="0.2">
      <c r="A26" s="2" t="s">
        <v>16</v>
      </c>
      <c r="B26" s="2" t="s">
        <v>3</v>
      </c>
      <c r="C26" s="2" t="s">
        <v>10</v>
      </c>
      <c r="D26" s="3">
        <v>1584978</v>
      </c>
      <c r="E26" s="3">
        <v>57806</v>
      </c>
      <c r="F26" s="4">
        <v>0.87170000000000003</v>
      </c>
      <c r="G26" s="4">
        <v>0.12720000000000001</v>
      </c>
      <c r="H26" s="5">
        <f t="shared" si="0"/>
        <v>0.99890000000000001</v>
      </c>
      <c r="I26" s="6">
        <f t="shared" si="1"/>
        <v>2957.0485074626868</v>
      </c>
      <c r="J26" s="6">
        <f t="shared" si="2"/>
        <v>107.84701492537313</v>
      </c>
    </row>
    <row r="27" spans="1:10" x14ac:dyDescent="0.2">
      <c r="A27" s="2" t="s">
        <v>16</v>
      </c>
      <c r="B27" s="2" t="s">
        <v>3</v>
      </c>
      <c r="C27" s="2" t="s">
        <v>11</v>
      </c>
      <c r="D27" s="3">
        <v>1584978</v>
      </c>
      <c r="E27" s="3">
        <v>57963</v>
      </c>
      <c r="F27" s="4">
        <v>0.87170000000000003</v>
      </c>
      <c r="G27" s="4">
        <v>0.1275</v>
      </c>
      <c r="H27" s="5">
        <f t="shared" si="0"/>
        <v>0.99920000000000009</v>
      </c>
      <c r="I27" s="6">
        <f t="shared" si="1"/>
        <v>2957.0485074626868</v>
      </c>
      <c r="J27" s="6">
        <f t="shared" si="2"/>
        <v>108.13992537313433</v>
      </c>
    </row>
    <row r="28" spans="1:10" x14ac:dyDescent="0.2">
      <c r="A28" s="2" t="s">
        <v>16</v>
      </c>
      <c r="B28" s="2" t="s">
        <v>3</v>
      </c>
      <c r="C28" s="2" t="s">
        <v>12</v>
      </c>
      <c r="D28" s="3">
        <v>1584978</v>
      </c>
      <c r="E28" s="3">
        <v>57738</v>
      </c>
      <c r="F28" s="4">
        <v>0.87170000000000003</v>
      </c>
      <c r="G28" s="4">
        <v>0.127</v>
      </c>
      <c r="H28" s="5">
        <f t="shared" si="0"/>
        <v>0.99870000000000003</v>
      </c>
      <c r="I28" s="6">
        <f t="shared" si="1"/>
        <v>2957.0485074626868</v>
      </c>
      <c r="J28" s="6">
        <f t="shared" si="2"/>
        <v>107.72014925373135</v>
      </c>
    </row>
    <row r="29" spans="1:10" x14ac:dyDescent="0.2">
      <c r="A29" s="2" t="s">
        <v>16</v>
      </c>
      <c r="B29" s="2" t="s">
        <v>3</v>
      </c>
      <c r="C29" s="2" t="s">
        <v>13</v>
      </c>
      <c r="D29" s="3">
        <v>1584978</v>
      </c>
      <c r="E29" s="3">
        <v>58032</v>
      </c>
      <c r="F29" s="4">
        <v>0.87170000000000003</v>
      </c>
      <c r="G29" s="4">
        <v>0.12770000000000001</v>
      </c>
      <c r="H29" s="5">
        <f t="shared" si="0"/>
        <v>0.99940000000000007</v>
      </c>
      <c r="I29" s="6">
        <f t="shared" si="1"/>
        <v>2957.0485074626868</v>
      </c>
      <c r="J29" s="6">
        <f t="shared" si="2"/>
        <v>108.26865671641791</v>
      </c>
    </row>
    <row r="30" spans="1:10" x14ac:dyDescent="0.2">
      <c r="A30" s="2" t="s">
        <v>16</v>
      </c>
      <c r="B30" s="2" t="s">
        <v>3</v>
      </c>
      <c r="C30" s="2" t="s">
        <v>14</v>
      </c>
      <c r="D30" s="3">
        <v>1584978</v>
      </c>
      <c r="E30" s="3">
        <v>58268</v>
      </c>
      <c r="F30" s="4">
        <v>0.87170000000000003</v>
      </c>
      <c r="G30" s="4">
        <v>0.12820000000000001</v>
      </c>
      <c r="H30" s="5">
        <f t="shared" si="0"/>
        <v>0.99990000000000001</v>
      </c>
      <c r="I30" s="6">
        <f t="shared" si="1"/>
        <v>2957.0485074626868</v>
      </c>
      <c r="J30" s="6">
        <f t="shared" si="2"/>
        <v>108.70895522388059</v>
      </c>
    </row>
    <row r="31" spans="1:10" x14ac:dyDescent="0.2">
      <c r="A31" s="2" t="s">
        <v>16</v>
      </c>
      <c r="B31" s="2" t="s">
        <v>3</v>
      </c>
      <c r="C31" s="2" t="s">
        <v>15</v>
      </c>
      <c r="D31" s="3">
        <v>1584978</v>
      </c>
      <c r="E31" s="3">
        <v>57929</v>
      </c>
      <c r="F31" s="4">
        <v>0.87170000000000003</v>
      </c>
      <c r="G31" s="4">
        <v>0.12740000000000001</v>
      </c>
      <c r="H31" s="5">
        <f t="shared" si="0"/>
        <v>0.9991000000000001</v>
      </c>
      <c r="I31" s="6">
        <f t="shared" si="1"/>
        <v>2957.0485074626868</v>
      </c>
      <c r="J31" s="6">
        <f t="shared" si="2"/>
        <v>108.07649253731343</v>
      </c>
    </row>
    <row r="32" spans="1:10" x14ac:dyDescent="0.2">
      <c r="F32" s="1"/>
      <c r="H32" s="1">
        <f>SUM(H2:H31)</f>
        <v>17.062499999999996</v>
      </c>
    </row>
    <row r="33" spans="3:5" x14ac:dyDescent="0.2">
      <c r="C33" s="9" t="s">
        <v>27</v>
      </c>
      <c r="D33" s="6">
        <f>MAX(D2:D31)</f>
        <v>1585514</v>
      </c>
      <c r="E33" s="6">
        <f>MAX(E2:E31)</f>
        <v>208241</v>
      </c>
    </row>
    <row r="34" spans="3:5" x14ac:dyDescent="0.2">
      <c r="C34" s="9" t="s">
        <v>28</v>
      </c>
      <c r="D34" s="6">
        <f>MIN(D2:D31)</f>
        <v>1556570</v>
      </c>
      <c r="E34" s="6">
        <f>MIN(E2:E31)</f>
        <v>57476</v>
      </c>
    </row>
    <row r="36" spans="3:5" x14ac:dyDescent="0.2">
      <c r="C36" s="9" t="s">
        <v>29</v>
      </c>
    </row>
    <row r="37" spans="3:5" x14ac:dyDescent="0.2">
      <c r="C37" s="9" t="s">
        <v>27</v>
      </c>
      <c r="D37" s="7">
        <f>D33/536</f>
        <v>2958.0485074626868</v>
      </c>
      <c r="E37" s="7">
        <f>E33/536</f>
        <v>388.50932835820896</v>
      </c>
    </row>
    <row r="38" spans="3:5" x14ac:dyDescent="0.2">
      <c r="C38" s="9" t="s">
        <v>28</v>
      </c>
      <c r="D38" s="7">
        <f>D34/536</f>
        <v>2904.0485074626868</v>
      </c>
      <c r="E38" s="7">
        <f>E34/536</f>
        <v>107.23134328358209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token_costs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Owen Sun</cp:lastModifiedBy>
  <dcterms:created xsi:type="dcterms:W3CDTF">2025-12-05T17:01:04Z</dcterms:created>
  <dcterms:modified xsi:type="dcterms:W3CDTF">2025-12-05T18:50:52Z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974fc8-691a-4b82-a84d-4330b2f06529_Enabled">
    <vt:lpwstr>true</vt:lpwstr>
  </property>
  <property fmtid="{D5CDD505-2E9C-101B-9397-08002B2CF9AE}" pid="3" name="MSIP_Label_61974fc8-691a-4b82-a84d-4330b2f06529_SetDate">
    <vt:lpwstr>2025-12-05T17:09:22Z</vt:lpwstr>
  </property>
  <property fmtid="{D5CDD505-2E9C-101B-9397-08002B2CF9AE}" pid="4" name="MSIP_Label_61974fc8-691a-4b82-a84d-4330b2f06529_Method">
    <vt:lpwstr>Standard</vt:lpwstr>
  </property>
  <property fmtid="{D5CDD505-2E9C-101B-9397-08002B2CF9AE}" pid="5" name="MSIP_Label_61974fc8-691a-4b82-a84d-4330b2f06529_Name">
    <vt:lpwstr>defa4170-0d19-0005-0004-bc88714345d2</vt:lpwstr>
  </property>
  <property fmtid="{D5CDD505-2E9C-101B-9397-08002B2CF9AE}" pid="6" name="MSIP_Label_61974fc8-691a-4b82-a84d-4330b2f06529_SiteId">
    <vt:lpwstr>3604475b-733c-480c-a414-8b0cd5fa28b8</vt:lpwstr>
  </property>
  <property fmtid="{D5CDD505-2E9C-101B-9397-08002B2CF9AE}" pid="7" name="MSIP_Label_61974fc8-691a-4b82-a84d-4330b2f06529_ActionId">
    <vt:lpwstr>8a7c6902-28ec-4917-80d4-cf441e631e3a</vt:lpwstr>
  </property>
  <property fmtid="{D5CDD505-2E9C-101B-9397-08002B2CF9AE}" pid="8" name="MSIP_Label_61974fc8-691a-4b82-a84d-4330b2f06529_ContentBits">
    <vt:lpwstr>0</vt:lpwstr>
  </property>
  <property fmtid="{D5CDD505-2E9C-101B-9397-08002B2CF9AE}" pid="9" name="MSIP_Label_61974fc8-691a-4b82-a84d-4330b2f06529_Tag">
    <vt:lpwstr>50, 3, 0, 1</vt:lpwstr>
  </property>
</Properties>
</file>