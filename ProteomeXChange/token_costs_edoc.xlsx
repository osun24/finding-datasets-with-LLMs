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sun/Downloads/ovarian cancer/early-detection-screening/"/>
    </mc:Choice>
  </mc:AlternateContent>
  <xr:revisionPtr revIDLastSave="0" documentId="13_ncr:1_{10A74DB1-505D-1F4E-9AB2-05162396C878}" xr6:coauthVersionLast="47" xr6:coauthVersionMax="47" xr10:uidLastSave="{00000000-0000-0000-0000-000000000000}"/>
  <bookViews>
    <workbookView xWindow="14600" yWindow="0" windowWidth="14200" windowHeight="18000" xr2:uid="{F089584D-0FA9-0444-95B8-2AE5E79087AA}"/>
  </bookViews>
  <sheets>
    <sheet name="token_costs_edo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" l="1"/>
  <c r="H33" i="1"/>
  <c r="E38" i="1"/>
  <c r="D38" i="1"/>
  <c r="E37" i="1"/>
  <c r="D37" i="1"/>
  <c r="E34" i="1"/>
  <c r="D34" i="1"/>
  <c r="E33" i="1"/>
  <c r="D33" i="1"/>
  <c r="I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<sst xmlns="http://schemas.openxmlformats.org/spreadsheetml/2006/main" count="99" uniqueCount="30">
  <si>
    <t>GPT-4.1-mini</t>
  </si>
  <si>
    <t>v1</t>
  </si>
  <si>
    <t>v2</t>
  </si>
  <si>
    <t>v3</t>
  </si>
  <si>
    <t>GPT-4o-mini</t>
  </si>
  <si>
    <t>GPT-5-mini</t>
  </si>
  <si>
    <t>seed42</t>
  </si>
  <si>
    <t>seed43</t>
  </si>
  <si>
    <t>seed44</t>
  </si>
  <si>
    <t>seed45</t>
  </si>
  <si>
    <t>seed46</t>
  </si>
  <si>
    <t>seed47</t>
  </si>
  <si>
    <t>seed48</t>
  </si>
  <si>
    <t>seed49</t>
  </si>
  <si>
    <t>seed50</t>
  </si>
  <si>
    <t>seed51</t>
  </si>
  <si>
    <t>o4-mini</t>
  </si>
  <si>
    <t>Model</t>
  </si>
  <si>
    <t>Version</t>
  </si>
  <si>
    <t>Seed</t>
  </si>
  <si>
    <t>Input Tokens</t>
  </si>
  <si>
    <t>Output Tokens</t>
  </si>
  <si>
    <t>Input Cost</t>
  </si>
  <si>
    <t>Output Cost</t>
  </si>
  <si>
    <t>Total Cost</t>
  </si>
  <si>
    <t>Input Tokens per Dataset</t>
  </si>
  <si>
    <t>Output Tokens per Dataset</t>
  </si>
  <si>
    <t>MAX</t>
  </si>
  <si>
    <t>MIN</t>
  </si>
  <si>
    <t>Per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</si>
</sst>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10" xfId="0" applyNumberFormat="1" applyBorder="1"/>
    <xf numFmtId="164" fontId="0" fillId="0" borderId="0" xfId="0" applyNumberFormat="1"/>
    <xf numFmtId="43" fontId="0" fillId="0" borderId="0" xfId="0" applyNumberFormat="1"/>
    <xf numFmtId="0" fontId="0" fillId="0" borderId="10" xfId="0" applyFill="1" applyBorder="1" applyAlignment="1">
      <alignment horizontal="center" vertical="center"/>
    </xf>
    <xf numFmtId="164" fontId="0" fillId="0" borderId="10" xfId="0" applyNumberFormat="1" applyBorder="1"/>
    <xf numFmtId="0" fontId="0" fillId="0" borderId="0" xfId="0" applyFill="1" applyBorder="1" applyAlignment="1">
      <alignment horizontal="center" vertical="center"/>
    </xf>
    <xf numFmtId="44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3313-9FD1-EE41-9F25-A1AC1D93D190}">
  <dimension ref="A1:J38"/>
  <sheetViews>
    <sheetView tabSelected="1" topLeftCell="C1" workbookViewId="0">
      <selection activeCell="H35" sqref="H35"/>
    </sheetView>
  </sheetViews>
  <sheetFormatPr baseColWidth="10" defaultRowHeight="16" x14ac:dyDescent="0.2"/>
  <cols>
    <col min="4" max="4" width="11.5" bestFit="1" customWidth="1"/>
    <col min="5" max="5" width="12.6640625" bestFit="1" customWidth="1"/>
    <col min="7" max="7" width="11" bestFit="1" customWidth="1"/>
    <col min="9" max="9" width="21.1640625" bestFit="1" customWidth="1"/>
    <col min="10" max="10" width="22.83203125" bestFit="1" customWidth="1"/>
  </cols>
  <sheetData>
    <row r="1" spans="1:10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7" t="s">
        <v>25</v>
      </c>
      <c r="J1" s="7" t="s">
        <v>26</v>
      </c>
    </row>
    <row r="2" spans="1:10" x14ac:dyDescent="0.2">
      <c r="A2" s="1" t="s">
        <v>0</v>
      </c>
      <c r="B2" s="1" t="s">
        <v>1</v>
      </c>
      <c r="C2" s="1"/>
      <c r="D2" s="2">
        <v>128377</v>
      </c>
      <c r="E2" s="2">
        <v>39932</v>
      </c>
      <c r="F2" s="3">
        <v>2.5700000000000001E-2</v>
      </c>
      <c r="G2" s="3">
        <v>3.1899999999999998E-2</v>
      </c>
      <c r="H2" s="4">
        <f>F2+G2</f>
        <v>5.7599999999999998E-2</v>
      </c>
      <c r="I2" s="8">
        <f>D2/258</f>
        <v>497.58527131782944</v>
      </c>
      <c r="J2" s="8">
        <f>E2/258</f>
        <v>154.77519379844961</v>
      </c>
    </row>
    <row r="3" spans="1:10" x14ac:dyDescent="0.2">
      <c r="A3" s="1" t="s">
        <v>0</v>
      </c>
      <c r="B3" s="1" t="s">
        <v>2</v>
      </c>
      <c r="C3" s="1"/>
      <c r="D3" s="2">
        <v>133537</v>
      </c>
      <c r="E3" s="2">
        <v>39354</v>
      </c>
      <c r="F3" s="3">
        <v>2.6700000000000002E-2</v>
      </c>
      <c r="G3" s="3">
        <v>3.15E-2</v>
      </c>
      <c r="H3" s="4">
        <f t="shared" ref="H3:H31" si="0">F3+G3</f>
        <v>5.8200000000000002E-2</v>
      </c>
      <c r="I3" s="8">
        <f t="shared" ref="I3:I31" si="1">D3/258</f>
        <v>517.58527131782944</v>
      </c>
      <c r="J3" s="8">
        <f t="shared" ref="J3:J31" si="2">E3/258</f>
        <v>152.53488372093022</v>
      </c>
    </row>
    <row r="4" spans="1:10" x14ac:dyDescent="0.2">
      <c r="A4" s="1" t="s">
        <v>0</v>
      </c>
      <c r="B4" s="1" t="s">
        <v>3</v>
      </c>
      <c r="C4" s="1"/>
      <c r="D4" s="2">
        <v>143341</v>
      </c>
      <c r="E4" s="2">
        <v>47084</v>
      </c>
      <c r="F4" s="3">
        <v>2.87E-2</v>
      </c>
      <c r="G4" s="3">
        <v>3.7699999999999997E-2</v>
      </c>
      <c r="H4" s="4">
        <f t="shared" si="0"/>
        <v>6.6400000000000001E-2</v>
      </c>
      <c r="I4" s="8">
        <f t="shared" si="1"/>
        <v>555.58527131782944</v>
      </c>
      <c r="J4" s="8">
        <f t="shared" si="2"/>
        <v>182.49612403100775</v>
      </c>
    </row>
    <row r="5" spans="1:10" x14ac:dyDescent="0.2">
      <c r="A5" s="1" t="s">
        <v>4</v>
      </c>
      <c r="B5" s="1" t="s">
        <v>1</v>
      </c>
      <c r="C5" s="1"/>
      <c r="D5" s="2">
        <v>128377</v>
      </c>
      <c r="E5" s="2">
        <v>46952</v>
      </c>
      <c r="F5" s="3">
        <v>9.5999999999999992E-3</v>
      </c>
      <c r="G5" s="3">
        <v>1.41E-2</v>
      </c>
      <c r="H5" s="4">
        <f t="shared" si="0"/>
        <v>2.3699999999999999E-2</v>
      </c>
      <c r="I5" s="8">
        <f t="shared" si="1"/>
        <v>497.58527131782944</v>
      </c>
      <c r="J5" s="8">
        <f t="shared" si="2"/>
        <v>181.98449612403101</v>
      </c>
    </row>
    <row r="6" spans="1:10" x14ac:dyDescent="0.2">
      <c r="A6" s="1" t="s">
        <v>4</v>
      </c>
      <c r="B6" s="1" t="s">
        <v>2</v>
      </c>
      <c r="C6" s="1"/>
      <c r="D6" s="2">
        <v>133537</v>
      </c>
      <c r="E6" s="2">
        <v>47029</v>
      </c>
      <c r="F6" s="3">
        <v>0.01</v>
      </c>
      <c r="G6" s="3">
        <v>1.41E-2</v>
      </c>
      <c r="H6" s="4">
        <f t="shared" si="0"/>
        <v>2.41E-2</v>
      </c>
      <c r="I6" s="8">
        <f t="shared" si="1"/>
        <v>517.58527131782944</v>
      </c>
      <c r="J6" s="8">
        <f t="shared" si="2"/>
        <v>182.2829457364341</v>
      </c>
    </row>
    <row r="7" spans="1:10" x14ac:dyDescent="0.2">
      <c r="A7" s="1" t="s">
        <v>4</v>
      </c>
      <c r="B7" s="1" t="s">
        <v>3</v>
      </c>
      <c r="C7" s="1"/>
      <c r="D7" s="2">
        <v>143341</v>
      </c>
      <c r="E7" s="2">
        <v>52839</v>
      </c>
      <c r="F7" s="3">
        <v>1.0800000000000001E-2</v>
      </c>
      <c r="G7" s="3">
        <v>1.5900000000000001E-2</v>
      </c>
      <c r="H7" s="4">
        <f t="shared" si="0"/>
        <v>2.6700000000000002E-2</v>
      </c>
      <c r="I7" s="8">
        <f t="shared" si="1"/>
        <v>555.58527131782944</v>
      </c>
      <c r="J7" s="8">
        <f t="shared" si="2"/>
        <v>204.80232558139534</v>
      </c>
    </row>
    <row r="8" spans="1:10" x14ac:dyDescent="0.2">
      <c r="A8" s="1" t="s">
        <v>5</v>
      </c>
      <c r="B8" s="1" t="s">
        <v>1</v>
      </c>
      <c r="C8" s="1" t="s">
        <v>6</v>
      </c>
      <c r="D8" s="2">
        <v>128119</v>
      </c>
      <c r="E8" s="2">
        <v>59854</v>
      </c>
      <c r="F8" s="3">
        <v>1.6E-2</v>
      </c>
      <c r="G8" s="3">
        <v>5.9900000000000002E-2</v>
      </c>
      <c r="H8" s="4">
        <f t="shared" si="0"/>
        <v>7.5899999999999995E-2</v>
      </c>
      <c r="I8" s="8">
        <f t="shared" si="1"/>
        <v>496.58527131782944</v>
      </c>
      <c r="J8" s="8">
        <f t="shared" si="2"/>
        <v>231.99224806201551</v>
      </c>
    </row>
    <row r="9" spans="1:10" x14ac:dyDescent="0.2">
      <c r="A9" s="1" t="s">
        <v>5</v>
      </c>
      <c r="B9" s="1" t="s">
        <v>2</v>
      </c>
      <c r="C9" s="1" t="s">
        <v>6</v>
      </c>
      <c r="D9" s="2">
        <v>133279</v>
      </c>
      <c r="E9" s="2">
        <v>59763</v>
      </c>
      <c r="F9" s="3">
        <v>1.67E-2</v>
      </c>
      <c r="G9" s="3">
        <v>5.9799999999999999E-2</v>
      </c>
      <c r="H9" s="4">
        <f t="shared" si="0"/>
        <v>7.6499999999999999E-2</v>
      </c>
      <c r="I9" s="8">
        <f t="shared" si="1"/>
        <v>516.58527131782944</v>
      </c>
      <c r="J9" s="8">
        <f t="shared" si="2"/>
        <v>231.63953488372093</v>
      </c>
    </row>
    <row r="10" spans="1:10" x14ac:dyDescent="0.2">
      <c r="A10" s="1" t="s">
        <v>5</v>
      </c>
      <c r="B10" s="1" t="s">
        <v>3</v>
      </c>
      <c r="C10" s="1" t="s">
        <v>6</v>
      </c>
      <c r="D10" s="2">
        <v>143083</v>
      </c>
      <c r="E10" s="2">
        <v>64689</v>
      </c>
      <c r="F10" s="3">
        <v>1.7899999999999999E-2</v>
      </c>
      <c r="G10" s="3">
        <v>6.4699999999999994E-2</v>
      </c>
      <c r="H10" s="4">
        <f t="shared" si="0"/>
        <v>8.2599999999999993E-2</v>
      </c>
      <c r="I10" s="8">
        <f t="shared" si="1"/>
        <v>554.58527131782944</v>
      </c>
      <c r="J10" s="8">
        <f t="shared" si="2"/>
        <v>250.73255813953489</v>
      </c>
    </row>
    <row r="11" spans="1:10" x14ac:dyDescent="0.2">
      <c r="A11" s="1" t="s">
        <v>5</v>
      </c>
      <c r="B11" s="1" t="s">
        <v>3</v>
      </c>
      <c r="C11" s="1" t="s">
        <v>7</v>
      </c>
      <c r="D11" s="2">
        <v>143083</v>
      </c>
      <c r="E11" s="2">
        <v>64929</v>
      </c>
      <c r="F11" s="3">
        <v>1.7899999999999999E-2</v>
      </c>
      <c r="G11" s="3">
        <v>6.4899999999999999E-2</v>
      </c>
      <c r="H11" s="4">
        <f t="shared" si="0"/>
        <v>8.2799999999999999E-2</v>
      </c>
      <c r="I11" s="8">
        <f t="shared" si="1"/>
        <v>554.58527131782944</v>
      </c>
      <c r="J11" s="8">
        <f t="shared" si="2"/>
        <v>251.66279069767441</v>
      </c>
    </row>
    <row r="12" spans="1:10" x14ac:dyDescent="0.2">
      <c r="A12" s="1" t="s">
        <v>5</v>
      </c>
      <c r="B12" s="1" t="s">
        <v>3</v>
      </c>
      <c r="C12" s="1" t="s">
        <v>8</v>
      </c>
      <c r="D12" s="2">
        <v>143083</v>
      </c>
      <c r="E12" s="2">
        <v>63978</v>
      </c>
      <c r="F12" s="3">
        <v>1.7899999999999999E-2</v>
      </c>
      <c r="G12" s="3">
        <v>6.4000000000000001E-2</v>
      </c>
      <c r="H12" s="4">
        <f t="shared" si="0"/>
        <v>8.1900000000000001E-2</v>
      </c>
      <c r="I12" s="8">
        <f t="shared" si="1"/>
        <v>554.58527131782944</v>
      </c>
      <c r="J12" s="8">
        <f t="shared" si="2"/>
        <v>247.97674418604652</v>
      </c>
    </row>
    <row r="13" spans="1:10" x14ac:dyDescent="0.2">
      <c r="A13" s="1" t="s">
        <v>5</v>
      </c>
      <c r="B13" s="1" t="s">
        <v>3</v>
      </c>
      <c r="C13" s="1" t="s">
        <v>9</v>
      </c>
      <c r="D13" s="2">
        <v>143083</v>
      </c>
      <c r="E13" s="2">
        <v>64589</v>
      </c>
      <c r="F13" s="3">
        <v>1.7899999999999999E-2</v>
      </c>
      <c r="G13" s="3">
        <v>6.4600000000000005E-2</v>
      </c>
      <c r="H13" s="4">
        <f t="shared" si="0"/>
        <v>8.2500000000000004E-2</v>
      </c>
      <c r="I13" s="8">
        <f t="shared" si="1"/>
        <v>554.58527131782944</v>
      </c>
      <c r="J13" s="8">
        <f t="shared" si="2"/>
        <v>250.34496124031008</v>
      </c>
    </row>
    <row r="14" spans="1:10" x14ac:dyDescent="0.2">
      <c r="A14" s="1" t="s">
        <v>5</v>
      </c>
      <c r="B14" s="1" t="s">
        <v>3</v>
      </c>
      <c r="C14" s="1" t="s">
        <v>10</v>
      </c>
      <c r="D14" s="2">
        <v>143083</v>
      </c>
      <c r="E14" s="2">
        <v>64547</v>
      </c>
      <c r="F14" s="3">
        <v>1.7899999999999999E-2</v>
      </c>
      <c r="G14" s="3">
        <v>6.4500000000000002E-2</v>
      </c>
      <c r="H14" s="4">
        <f t="shared" si="0"/>
        <v>8.2400000000000001E-2</v>
      </c>
      <c r="I14" s="8">
        <f t="shared" si="1"/>
        <v>554.58527131782944</v>
      </c>
      <c r="J14" s="8">
        <f t="shared" si="2"/>
        <v>250.18217054263565</v>
      </c>
    </row>
    <row r="15" spans="1:10" x14ac:dyDescent="0.2">
      <c r="A15" s="1" t="s">
        <v>5</v>
      </c>
      <c r="B15" s="1" t="s">
        <v>3</v>
      </c>
      <c r="C15" s="1" t="s">
        <v>11</v>
      </c>
      <c r="D15" s="2">
        <v>143083</v>
      </c>
      <c r="E15" s="2">
        <v>65950</v>
      </c>
      <c r="F15" s="3">
        <v>1.7899999999999999E-2</v>
      </c>
      <c r="G15" s="3">
        <v>6.59E-2</v>
      </c>
      <c r="H15" s="4">
        <f t="shared" si="0"/>
        <v>8.3799999999999999E-2</v>
      </c>
      <c r="I15" s="8">
        <f t="shared" si="1"/>
        <v>554.58527131782944</v>
      </c>
      <c r="J15" s="8">
        <f t="shared" si="2"/>
        <v>255.62015503875969</v>
      </c>
    </row>
    <row r="16" spans="1:10" x14ac:dyDescent="0.2">
      <c r="A16" s="1" t="s">
        <v>5</v>
      </c>
      <c r="B16" s="1" t="s">
        <v>3</v>
      </c>
      <c r="C16" s="1" t="s">
        <v>12</v>
      </c>
      <c r="D16" s="2">
        <v>143083</v>
      </c>
      <c r="E16" s="2">
        <v>65732</v>
      </c>
      <c r="F16" s="3">
        <v>1.7899999999999999E-2</v>
      </c>
      <c r="G16" s="3">
        <v>6.5699999999999995E-2</v>
      </c>
      <c r="H16" s="4">
        <f t="shared" si="0"/>
        <v>8.3599999999999994E-2</v>
      </c>
      <c r="I16" s="8">
        <f t="shared" si="1"/>
        <v>554.58527131782944</v>
      </c>
      <c r="J16" s="8">
        <f t="shared" si="2"/>
        <v>254.77519379844961</v>
      </c>
    </row>
    <row r="17" spans="1:10" x14ac:dyDescent="0.2">
      <c r="A17" s="1" t="s">
        <v>5</v>
      </c>
      <c r="B17" s="1" t="s">
        <v>3</v>
      </c>
      <c r="C17" s="1" t="s">
        <v>13</v>
      </c>
      <c r="D17" s="2">
        <v>143083</v>
      </c>
      <c r="E17" s="2">
        <v>65723</v>
      </c>
      <c r="F17" s="3">
        <v>1.7899999999999999E-2</v>
      </c>
      <c r="G17" s="3">
        <v>6.5699999999999995E-2</v>
      </c>
      <c r="H17" s="4">
        <f t="shared" si="0"/>
        <v>8.3599999999999994E-2</v>
      </c>
      <c r="I17" s="8">
        <f t="shared" si="1"/>
        <v>554.58527131782944</v>
      </c>
      <c r="J17" s="8">
        <f t="shared" si="2"/>
        <v>254.74031007751938</v>
      </c>
    </row>
    <row r="18" spans="1:10" x14ac:dyDescent="0.2">
      <c r="A18" s="1" t="s">
        <v>5</v>
      </c>
      <c r="B18" s="1" t="s">
        <v>3</v>
      </c>
      <c r="C18" s="1" t="s">
        <v>14</v>
      </c>
      <c r="D18" s="2">
        <v>143083</v>
      </c>
      <c r="E18" s="2">
        <v>65479</v>
      </c>
      <c r="F18" s="3">
        <v>1.7899999999999999E-2</v>
      </c>
      <c r="G18" s="3">
        <v>6.5500000000000003E-2</v>
      </c>
      <c r="H18" s="4">
        <f t="shared" si="0"/>
        <v>8.3400000000000002E-2</v>
      </c>
      <c r="I18" s="8">
        <f t="shared" si="1"/>
        <v>554.58527131782944</v>
      </c>
      <c r="J18" s="8">
        <f t="shared" si="2"/>
        <v>253.79457364341084</v>
      </c>
    </row>
    <row r="19" spans="1:10" x14ac:dyDescent="0.2">
      <c r="A19" s="1" t="s">
        <v>5</v>
      </c>
      <c r="B19" s="1" t="s">
        <v>3</v>
      </c>
      <c r="C19" s="1" t="s">
        <v>15</v>
      </c>
      <c r="D19" s="2">
        <v>143083</v>
      </c>
      <c r="E19" s="2">
        <v>65392</v>
      </c>
      <c r="F19" s="3">
        <v>1.7899999999999999E-2</v>
      </c>
      <c r="G19" s="3">
        <v>6.54E-2</v>
      </c>
      <c r="H19" s="4">
        <f t="shared" si="0"/>
        <v>8.3299999999999999E-2</v>
      </c>
      <c r="I19" s="8">
        <f t="shared" si="1"/>
        <v>554.58527131782944</v>
      </c>
      <c r="J19" s="8">
        <f t="shared" si="2"/>
        <v>253.45736434108528</v>
      </c>
    </row>
    <row r="20" spans="1:10" x14ac:dyDescent="0.2">
      <c r="A20" s="1" t="s">
        <v>16</v>
      </c>
      <c r="B20" s="1" t="s">
        <v>1</v>
      </c>
      <c r="C20" s="1" t="s">
        <v>6</v>
      </c>
      <c r="D20" s="2">
        <v>128119</v>
      </c>
      <c r="E20" s="2">
        <v>40321</v>
      </c>
      <c r="F20" s="3">
        <v>7.0499999999999993E-2</v>
      </c>
      <c r="G20" s="3">
        <v>8.8700000000000001E-2</v>
      </c>
      <c r="H20" s="4">
        <f t="shared" si="0"/>
        <v>0.15920000000000001</v>
      </c>
      <c r="I20" s="8">
        <f t="shared" si="1"/>
        <v>496.58527131782944</v>
      </c>
      <c r="J20" s="8">
        <f t="shared" si="2"/>
        <v>156.2829457364341</v>
      </c>
    </row>
    <row r="21" spans="1:10" x14ac:dyDescent="0.2">
      <c r="A21" s="1" t="s">
        <v>16</v>
      </c>
      <c r="B21" s="1" t="s">
        <v>2</v>
      </c>
      <c r="C21" s="1" t="s">
        <v>6</v>
      </c>
      <c r="D21" s="2">
        <v>133279</v>
      </c>
      <c r="E21" s="2">
        <v>39706</v>
      </c>
      <c r="F21" s="3">
        <v>7.3300000000000004E-2</v>
      </c>
      <c r="G21" s="3">
        <v>8.7400000000000005E-2</v>
      </c>
      <c r="H21" s="4">
        <f t="shared" si="0"/>
        <v>0.16070000000000001</v>
      </c>
      <c r="I21" s="8">
        <f t="shared" si="1"/>
        <v>516.58527131782944</v>
      </c>
      <c r="J21" s="8">
        <f t="shared" si="2"/>
        <v>153.89922480620154</v>
      </c>
    </row>
    <row r="22" spans="1:10" x14ac:dyDescent="0.2">
      <c r="A22" s="1" t="s">
        <v>16</v>
      </c>
      <c r="B22" s="1" t="s">
        <v>3</v>
      </c>
      <c r="C22" s="1" t="s">
        <v>6</v>
      </c>
      <c r="D22" s="2">
        <v>143083</v>
      </c>
      <c r="E22" s="2">
        <v>44264</v>
      </c>
      <c r="F22" s="3">
        <v>7.8700000000000006E-2</v>
      </c>
      <c r="G22" s="3">
        <v>9.74E-2</v>
      </c>
      <c r="H22" s="4">
        <f t="shared" si="0"/>
        <v>0.17610000000000001</v>
      </c>
      <c r="I22" s="8">
        <f t="shared" si="1"/>
        <v>554.58527131782944</v>
      </c>
      <c r="J22" s="8">
        <f t="shared" si="2"/>
        <v>171.56589147286823</v>
      </c>
    </row>
    <row r="23" spans="1:10" x14ac:dyDescent="0.2">
      <c r="A23" s="1" t="s">
        <v>16</v>
      </c>
      <c r="B23" s="1" t="s">
        <v>3</v>
      </c>
      <c r="C23" s="1" t="s">
        <v>7</v>
      </c>
      <c r="D23" s="2">
        <v>143083</v>
      </c>
      <c r="E23" s="2">
        <v>44507</v>
      </c>
      <c r="F23" s="3">
        <v>7.8700000000000006E-2</v>
      </c>
      <c r="G23" s="3">
        <v>9.7900000000000001E-2</v>
      </c>
      <c r="H23" s="4">
        <f t="shared" si="0"/>
        <v>0.17660000000000001</v>
      </c>
      <c r="I23" s="8">
        <f t="shared" si="1"/>
        <v>554.58527131782944</v>
      </c>
      <c r="J23" s="8">
        <f t="shared" si="2"/>
        <v>172.50775193798449</v>
      </c>
    </row>
    <row r="24" spans="1:10" x14ac:dyDescent="0.2">
      <c r="A24" s="1" t="s">
        <v>16</v>
      </c>
      <c r="B24" s="1" t="s">
        <v>3</v>
      </c>
      <c r="C24" s="1" t="s">
        <v>8</v>
      </c>
      <c r="D24" s="2">
        <v>143083</v>
      </c>
      <c r="E24" s="2">
        <v>43935</v>
      </c>
      <c r="F24" s="3">
        <v>7.8700000000000006E-2</v>
      </c>
      <c r="G24" s="3">
        <v>9.6699999999999994E-2</v>
      </c>
      <c r="H24" s="4">
        <f t="shared" si="0"/>
        <v>0.1754</v>
      </c>
      <c r="I24" s="8">
        <f t="shared" si="1"/>
        <v>554.58527131782944</v>
      </c>
      <c r="J24" s="8">
        <f t="shared" si="2"/>
        <v>170.2906976744186</v>
      </c>
    </row>
    <row r="25" spans="1:10" x14ac:dyDescent="0.2">
      <c r="A25" s="1" t="s">
        <v>16</v>
      </c>
      <c r="B25" s="1" t="s">
        <v>3</v>
      </c>
      <c r="C25" s="1" t="s">
        <v>9</v>
      </c>
      <c r="D25" s="2">
        <v>143083</v>
      </c>
      <c r="E25" s="2">
        <v>44609</v>
      </c>
      <c r="F25" s="3">
        <v>7.8700000000000006E-2</v>
      </c>
      <c r="G25" s="3">
        <v>9.8100000000000007E-2</v>
      </c>
      <c r="H25" s="4">
        <f t="shared" si="0"/>
        <v>0.17680000000000001</v>
      </c>
      <c r="I25" s="8">
        <f t="shared" si="1"/>
        <v>554.58527131782944</v>
      </c>
      <c r="J25" s="8">
        <f t="shared" si="2"/>
        <v>172.90310077519379</v>
      </c>
    </row>
    <row r="26" spans="1:10" x14ac:dyDescent="0.2">
      <c r="A26" s="1" t="s">
        <v>16</v>
      </c>
      <c r="B26" s="1" t="s">
        <v>3</v>
      </c>
      <c r="C26" s="1" t="s">
        <v>10</v>
      </c>
      <c r="D26" s="2">
        <v>143083</v>
      </c>
      <c r="E26" s="2">
        <v>44698</v>
      </c>
      <c r="F26" s="3">
        <v>7.8700000000000006E-2</v>
      </c>
      <c r="G26" s="3">
        <v>9.8299999999999998E-2</v>
      </c>
      <c r="H26" s="4">
        <f t="shared" si="0"/>
        <v>0.17699999999999999</v>
      </c>
      <c r="I26" s="8">
        <f t="shared" si="1"/>
        <v>554.58527131782944</v>
      </c>
      <c r="J26" s="8">
        <f t="shared" si="2"/>
        <v>173.24806201550388</v>
      </c>
    </row>
    <row r="27" spans="1:10" x14ac:dyDescent="0.2">
      <c r="A27" s="1" t="s">
        <v>16</v>
      </c>
      <c r="B27" s="1" t="s">
        <v>3</v>
      </c>
      <c r="C27" s="1" t="s">
        <v>11</v>
      </c>
      <c r="D27" s="2">
        <v>143083</v>
      </c>
      <c r="E27" s="2">
        <v>44029</v>
      </c>
      <c r="F27" s="3">
        <v>7.8700000000000006E-2</v>
      </c>
      <c r="G27" s="3">
        <v>9.69E-2</v>
      </c>
      <c r="H27" s="4">
        <f t="shared" si="0"/>
        <v>0.17560000000000001</v>
      </c>
      <c r="I27" s="8">
        <f t="shared" si="1"/>
        <v>554.58527131782944</v>
      </c>
      <c r="J27" s="8">
        <f t="shared" si="2"/>
        <v>170.65503875968992</v>
      </c>
    </row>
    <row r="28" spans="1:10" x14ac:dyDescent="0.2">
      <c r="A28" s="1" t="s">
        <v>16</v>
      </c>
      <c r="B28" s="1" t="s">
        <v>3</v>
      </c>
      <c r="C28" s="1" t="s">
        <v>12</v>
      </c>
      <c r="D28" s="2">
        <v>143083</v>
      </c>
      <c r="E28" s="2">
        <v>44056</v>
      </c>
      <c r="F28" s="3">
        <v>7.8700000000000006E-2</v>
      </c>
      <c r="G28" s="3">
        <v>9.69E-2</v>
      </c>
      <c r="H28" s="4">
        <f t="shared" si="0"/>
        <v>0.17560000000000001</v>
      </c>
      <c r="I28" s="8">
        <f t="shared" si="1"/>
        <v>554.58527131782944</v>
      </c>
      <c r="J28" s="8">
        <f t="shared" si="2"/>
        <v>170.75968992248062</v>
      </c>
    </row>
    <row r="29" spans="1:10" x14ac:dyDescent="0.2">
      <c r="A29" s="1" t="s">
        <v>16</v>
      </c>
      <c r="B29" s="1" t="s">
        <v>3</v>
      </c>
      <c r="C29" s="1" t="s">
        <v>13</v>
      </c>
      <c r="D29" s="2">
        <v>143083</v>
      </c>
      <c r="E29" s="2">
        <v>44234</v>
      </c>
      <c r="F29" s="3">
        <v>7.8700000000000006E-2</v>
      </c>
      <c r="G29" s="3">
        <v>9.7299999999999998E-2</v>
      </c>
      <c r="H29" s="4">
        <f t="shared" si="0"/>
        <v>0.17599999999999999</v>
      </c>
      <c r="I29" s="8">
        <f t="shared" si="1"/>
        <v>554.58527131782944</v>
      </c>
      <c r="J29" s="8">
        <f t="shared" si="2"/>
        <v>171.44961240310079</v>
      </c>
    </row>
    <row r="30" spans="1:10" x14ac:dyDescent="0.2">
      <c r="A30" s="1" t="s">
        <v>16</v>
      </c>
      <c r="B30" s="1" t="s">
        <v>3</v>
      </c>
      <c r="C30" s="1" t="s">
        <v>14</v>
      </c>
      <c r="D30" s="2">
        <v>143083</v>
      </c>
      <c r="E30" s="2">
        <v>44337</v>
      </c>
      <c r="F30" s="3">
        <v>7.8700000000000006E-2</v>
      </c>
      <c r="G30" s="3">
        <v>9.7500000000000003E-2</v>
      </c>
      <c r="H30" s="4">
        <f t="shared" si="0"/>
        <v>0.17620000000000002</v>
      </c>
      <c r="I30" s="8">
        <f t="shared" si="1"/>
        <v>554.58527131782944</v>
      </c>
      <c r="J30" s="8">
        <f t="shared" si="2"/>
        <v>171.84883720930233</v>
      </c>
    </row>
    <row r="31" spans="1:10" x14ac:dyDescent="0.2">
      <c r="A31" s="1" t="s">
        <v>16</v>
      </c>
      <c r="B31" s="1" t="s">
        <v>3</v>
      </c>
      <c r="C31" s="1" t="s">
        <v>15</v>
      </c>
      <c r="D31" s="2">
        <v>143083</v>
      </c>
      <c r="E31" s="2">
        <v>44004</v>
      </c>
      <c r="F31" s="3">
        <v>7.8700000000000006E-2</v>
      </c>
      <c r="G31" s="3">
        <v>9.6799999999999997E-2</v>
      </c>
      <c r="H31" s="4">
        <f t="shared" si="0"/>
        <v>0.17549999999999999</v>
      </c>
      <c r="I31" s="8">
        <f t="shared" si="1"/>
        <v>554.58527131782944</v>
      </c>
      <c r="J31" s="8">
        <f t="shared" si="2"/>
        <v>170.55813953488371</v>
      </c>
    </row>
    <row r="33" spans="3:8" x14ac:dyDescent="0.2">
      <c r="C33" s="9" t="s">
        <v>27</v>
      </c>
      <c r="D33" s="5">
        <f>MAX(D2:D31)</f>
        <v>143341</v>
      </c>
      <c r="E33" s="5">
        <f>MAX(E2:E31)</f>
        <v>65950</v>
      </c>
      <c r="H33" s="10">
        <f>MAX(H2:H31)</f>
        <v>0.17699999999999999</v>
      </c>
    </row>
    <row r="34" spans="3:8" x14ac:dyDescent="0.2">
      <c r="C34" s="9" t="s">
        <v>28</v>
      </c>
      <c r="D34" s="5">
        <f>MIN(D2:D31)</f>
        <v>128119</v>
      </c>
      <c r="E34" s="5">
        <f>MIN(E2:E31)</f>
        <v>39354</v>
      </c>
      <c r="H34" s="10">
        <f>MIN(H2:H31)</f>
        <v>2.3699999999999999E-2</v>
      </c>
    </row>
    <row r="36" spans="3:8" x14ac:dyDescent="0.2">
      <c r="C36" s="9" t="s">
        <v>29</v>
      </c>
    </row>
    <row r="37" spans="3:8" x14ac:dyDescent="0.2">
      <c r="C37" s="9" t="s">
        <v>27</v>
      </c>
      <c r="D37" s="6">
        <f>D33/258</f>
        <v>555.58527131782944</v>
      </c>
      <c r="E37" s="6">
        <f>E33/258</f>
        <v>255.62015503875969</v>
      </c>
    </row>
    <row r="38" spans="3:8" x14ac:dyDescent="0.2">
      <c r="C38" s="9" t="s">
        <v>28</v>
      </c>
      <c r="D38" s="6">
        <f>D34/258</f>
        <v>496.58527131782944</v>
      </c>
      <c r="E38" s="6">
        <f>E34/258</f>
        <v>152.53488372093022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token_costs_edoc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Owen Sun</cp:lastModifiedBy>
  <dcterms:created xsi:type="dcterms:W3CDTF">2025-12-05T17:20:11Z</dcterms:created>
  <dcterms:modified xsi:type="dcterms:W3CDTF">2025-12-05T18:55:47Z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1974fc8-691a-4b82-a84d-4330b2f06529_Enabled">
    <vt:lpwstr>true</vt:lpwstr>
  </property>
  <property fmtid="{D5CDD505-2E9C-101B-9397-08002B2CF9AE}" pid="3" name="MSIP_Label_61974fc8-691a-4b82-a84d-4330b2f06529_SetDate">
    <vt:lpwstr>2025-12-05T17:24:17Z</vt:lpwstr>
  </property>
  <property fmtid="{D5CDD505-2E9C-101B-9397-08002B2CF9AE}" pid="4" name="MSIP_Label_61974fc8-691a-4b82-a84d-4330b2f06529_Method">
    <vt:lpwstr>Standard</vt:lpwstr>
  </property>
  <property fmtid="{D5CDD505-2E9C-101B-9397-08002B2CF9AE}" pid="5" name="MSIP_Label_61974fc8-691a-4b82-a84d-4330b2f06529_Name">
    <vt:lpwstr>defa4170-0d19-0005-0004-bc88714345d2</vt:lpwstr>
  </property>
  <property fmtid="{D5CDD505-2E9C-101B-9397-08002B2CF9AE}" pid="6" name="MSIP_Label_61974fc8-691a-4b82-a84d-4330b2f06529_SiteId">
    <vt:lpwstr>3604475b-733c-480c-a414-8b0cd5fa28b8</vt:lpwstr>
  </property>
  <property fmtid="{D5CDD505-2E9C-101B-9397-08002B2CF9AE}" pid="7" name="MSIP_Label_61974fc8-691a-4b82-a84d-4330b2f06529_ActionId">
    <vt:lpwstr>a8ea2074-df1b-4db4-97f0-b330be846b4a</vt:lpwstr>
  </property>
  <property fmtid="{D5CDD505-2E9C-101B-9397-08002B2CF9AE}" pid="8" name="MSIP_Label_61974fc8-691a-4b82-a84d-4330b2f06529_ContentBits">
    <vt:lpwstr>0</vt:lpwstr>
  </property>
  <property fmtid="{D5CDD505-2E9C-101B-9397-08002B2CF9AE}" pid="9" name="MSIP_Label_61974fc8-691a-4b82-a84d-4330b2f06529_Tag">
    <vt:lpwstr>50, 3, 0, 1</vt:lpwstr>
  </property>
</Properties>
</file>